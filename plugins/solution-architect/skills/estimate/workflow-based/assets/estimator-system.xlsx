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How to Use" sheetId="1" state="visible" r:id="rId3"/>
    <sheet name="Ballpark Estimator" sheetId="2" state="visible" r:id="rId4"/>
    <sheet name="Scoring Guide" sheetId="3" state="visible" r:id="rId5"/>
    <sheet name="Tier Reference" sheetId="4" state="visible" r:id="rId6"/>
    <sheet name="Project Roll-up"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<sst xmlns="http://schemas.openxmlformats.org/spreadsheetml/2006/main" count="293" uniqueCount="269">
  <si>
    <t xml:space="preserve">BALLPARK COST ESTIMATOR  v2.0</t>
  </si>
  <si>
    <t xml:space="preserve">Fast, defensible order-of-magnitude pricing for a multi-feature software project</t>
  </si>
  <si>
    <t xml:space="preserve">WHAT THIS TOOL IS FOR</t>
  </si>
  <si>
    <t xml:space="preserve">Use this workbook at the proposal stage, when you have a feature list but not signed-off specifications. It converts a 1-5 score across five dimensions into a price band for each feature, then rolls the features up into a project number with the overheads that feature-level scoring always misses.</t>
  </si>
  <si>
    <t xml:space="preserve">It is an order-of-magnitude tool. Expect the project total to land within roughly plus or minus 30 to 40 per cent of actual. It is not a quote and should never be presented as one.</t>
  </si>
  <si>
    <t xml:space="preserve">When a single feature matters enough to get right, stop using this sheet for that feature and run the companion FEATURE DEEP ESTIMATOR workbook instead. Bring the result back to the Variance sheet in that workbook.</t>
  </si>
  <si>
    <t xml:space="preserve">HOW TO FILL IT IN</t>
  </si>
  <si>
    <t xml:space="preserve">Step</t>
  </si>
  <si>
    <t xml:space="preserve">What you do</t>
  </si>
  <si>
    <t xml:space="preserve">Why it matters</t>
  </si>
  <si>
    <t xml:space="preserve">1.  List every feature</t>
  </si>
  <si>
    <t xml:space="preserve">One row per deliverable feature on the Ballpark Estimator sheet. Split anything you cannot describe in a single sentence.</t>
  </si>
  <si>
    <t xml:space="preserve">2.  Score all five dimensions</t>
  </si>
  <si>
    <t xml:space="preserve">Enter 1-5 in each yellow cell. Use the Scoring Guide sheet for the anchor descriptions so scores stay consistent between estimators.</t>
  </si>
  <si>
    <t xml:space="preserve">3.  Read the flag column</t>
  </si>
  <si>
    <t xml:space="preserve">Any row flagged for a deep estimate is telling you the money at stake exceeds what this tool can responsibly price.</t>
  </si>
  <si>
    <t xml:space="preserve">4.  Set the project context factors</t>
  </si>
  <si>
    <t xml:space="preserve">On the Project Roll-up sheet. These apply to the whole project, not to individual features, and they routinely move the total by 20-50 per cent.</t>
  </si>
  <si>
    <t xml:space="preserve">5.  Review the overhead percentages</t>
  </si>
  <si>
    <t xml:space="preserve">The defaults are starting points, not truths. Tune them once against your own delivered projects and then leave them alone.</t>
  </si>
  <si>
    <t xml:space="preserve">6.  Write the assumptions and exclusions</t>
  </si>
  <si>
    <t xml:space="preserve">The bottom of the Project Roll-up sheet. An estimate without these is a liability, not an estimate.</t>
  </si>
  <si>
    <t xml:space="preserve">CELL COLOUR LEGEND</t>
  </si>
  <si>
    <t xml:space="preserve">Yellow fill, blue text</t>
  </si>
  <si>
    <t xml:space="preserve">You edit this. Every input in the workbook is marked this way.</t>
  </si>
  <si>
    <t xml:space="preserve">White, black text</t>
  </si>
  <si>
    <t xml:space="preserve">Calculated. Do not overwrite - you will break the roll-up.</t>
  </si>
  <si>
    <t xml:space="preserve">Green text</t>
  </si>
  <si>
    <t xml:space="preserve">Pulled from another sheet in this workbook.</t>
  </si>
  <si>
    <t xml:space="preserve">WHAT CHANGED FROM v1 - AND WHY</t>
  </si>
  <si>
    <t xml:space="preserve">Issue in v1</t>
  </si>
  <si>
    <t xml:space="preserve">Change in v2</t>
  </si>
  <si>
    <t xml:space="preserve">All five dimensions weighted equally</t>
  </si>
  <si>
    <t xml:space="preserve">Weighted 20/10/20/30/20. In an agent-assisted workflow raw feature size is the cheapest thing to produce, while unclear requirements are the most expensive. Weights are editable on the estimator sheet.</t>
  </si>
  <si>
    <t xml:space="preserve">Every Medium feature priced at the same $2,750 midpoint</t>
  </si>
  <si>
    <t xml:space="preserve">Price now interpolates continuously across the whole 5-25 score range, so a 12 and a 17 no longer quote identically.</t>
  </si>
  <si>
    <t xml:space="preserve">One score point moved price from $10,000 to $25,000 at the tier edge</t>
  </si>
  <si>
    <t xml:space="preserve">Tier price bands are now continuous - each band ends where the next begins - so there is no cliff anywhere on the curve.</t>
  </si>
  <si>
    <t xml:space="preserve">Project range was the naive sum of every feature's low and high</t>
  </si>
  <si>
    <t xml:space="preserve">Project spread is now combined statistically. All features hitting their low simultaneously is not a real scenario, so the naive sum overstates the range.</t>
  </si>
  <si>
    <t xml:space="preserve">Nothing outside feature build was priced</t>
  </si>
  <si>
    <t xml:space="preserve">Discovery, design, QA, DevOps, documentation, project management and cross-feature integration are now explicit lines on the roll-up.</t>
  </si>
  <si>
    <t xml:space="preserve">No project-wide context</t>
  </si>
  <si>
    <t xml:space="preserve">Codebase maturity, stack familiarity, spec quality, compliance and client decision structure now scale the whole project.</t>
  </si>
  <si>
    <t xml:space="preserve">Uncertainty was scored but never used</t>
  </si>
  <si>
    <t xml:space="preserve">It now drives both the per-feature spread and the project contingency percentage.</t>
  </si>
  <si>
    <t xml:space="preserve">No assumptions, exclusions or expiry</t>
  </si>
  <si>
    <t xml:space="preserve">All three are now required fields at the bottom of the roll-up.</t>
  </si>
  <si>
    <t xml:space="preserve">No way to learn from delivered work</t>
  </si>
  <si>
    <t xml:space="preserve">The companion Deep Estimator carries an Actuals and Calibration sheet. Feed those factors back into the parameters here.</t>
  </si>
  <si>
    <t xml:space="preserve">BALLPARK COST ESTIMATOR</t>
  </si>
  <si>
    <t xml:space="preserve">Score each feature 1-5 across five weighted dimensions. Price interpolates continuously - no tier cliffs.</t>
  </si>
  <si>
    <t xml:space="preserve">Project</t>
  </si>
  <si>
    <t xml:space="preserve">Client</t>
  </si>
  <si>
    <t xml:space="preserve">Prepared by</t>
  </si>
  <si>
    <t xml:space="preserve">Date</t>
  </si>
  <si>
    <t xml:space="preserve">Version</t>
  </si>
  <si>
    <t xml:space="preserve">Status</t>
  </si>
  <si>
    <t xml:space="preserve">Ballpark only - not a quote</t>
  </si>
  <si>
    <t xml:space="preserve">DIMENSION WEIGHTS  (edit to re-tune)</t>
  </si>
  <si>
    <t xml:space="preserve">Size is deliberately the lightest weight and Uncertainty the heaviest - see How to Use.</t>
  </si>
  <si>
    <t xml:space="preserve">SYSTEM / MODULE</t>
  </si>
  <si>
    <t xml:space="preserve">FEATURE / WORK ITEM</t>
  </si>
  <si>
    <t xml:space="preserve">TECH
COMPLEXITY
(1-5)</t>
  </si>
  <si>
    <t xml:space="preserve">FEATURE
SIZE
(1-5)</t>
  </si>
  <si>
    <t xml:space="preserve">DEPEND-
ENCIES
(1-5)</t>
  </si>
  <si>
    <t xml:space="preserve">UNCER-
TAINTY
(1-5)</t>
  </si>
  <si>
    <t xml:space="preserve">RISK
(1-5)</t>
  </si>
  <si>
    <t xml:space="preserve">WEIGHTED
SCORE
(5-25)</t>
  </si>
  <si>
    <t xml:space="preserve">TIER</t>
  </si>
  <si>
    <t xml:space="preserve">POINT
ESTIMATE</t>
  </si>
  <si>
    <t xml:space="preserve">+/-
SPREAD</t>
  </si>
  <si>
    <t xml:space="preserve">EST.
LOW</t>
  </si>
  <si>
    <t xml:space="preserve">EST.
HIGH</t>
  </si>
  <si>
    <t xml:space="preserve">FLAG / ACTION</t>
  </si>
  <si>
    <t xml:space="preserve">User authentication (email + OAuth)</t>
  </si>
  <si>
    <t xml:space="preserve">Role-based access control</t>
  </si>
  <si>
    <t xml:space="preserve">Stripe billing &amp; subscription</t>
  </si>
  <si>
    <t xml:space="preserve">Admin dashboard (CRUD + search)</t>
  </si>
  <si>
    <t xml:space="preserve">AI chat with streaming + history</t>
  </si>
  <si>
    <t xml:space="preserve">FEATURE SUBTOTAL</t>
  </si>
  <si>
    <t xml:space="preserve">Features:</t>
  </si>
  <si>
    <t xml:space="preserve">Build effort only</t>
  </si>
  <si>
    <t xml:space="preserve">The Est. Low and Est. High columns above are summed naively and will overstate the true project spread. Use the statistically combined range on the Project Roll-up sheet when you talk to a client. This subtotal covers feature build effort only - it excludes discovery, design, QA, DevOps, documentation, project management, cross-feature integration and contingency. All of those are added on the Project Roll-up sheet.</t>
  </si>
  <si>
    <t xml:space="preserve">SCORING GUIDE - COMPLEXITY DIMENSIONS</t>
  </si>
  <si>
    <t xml:space="preserve">Anchor descriptions. Two people should score independently and reconcile - it removes most anchoring bias.</t>
  </si>
  <si>
    <t xml:space="preserve">TECHNICAL COMPLEXITY</t>
  </si>
  <si>
    <t xml:space="preserve">Weight 20%</t>
  </si>
  <si>
    <t xml:space="preserve">Score 1</t>
  </si>
  <si>
    <t xml:space="preserve">Score 2</t>
  </si>
  <si>
    <t xml:space="preserve">Score 3</t>
  </si>
  <si>
    <t xml:space="preserve">Score 4</t>
  </si>
  <si>
    <t xml:space="preserve">Score 5</t>
  </si>
  <si>
    <t xml:space="preserve">Technical Complexity</t>
  </si>
  <si>
    <t xml:space="preserve">Standard CRUD, well-documented library usage, established patterns</t>
  </si>
  <si>
    <t xml:space="preserve">Minor customisation of standard patterns, simple state management</t>
  </si>
  <si>
    <t xml:space="preserve">Custom business logic, moderate algorithmic complexity, multiple states</t>
  </si>
  <si>
    <t xml:space="preserve">Non-trivial algorithms, real-time systems, ML inference, complex data transforms</t>
  </si>
  <si>
    <t xml:space="preserve">Novel architecture, distributed systems, low-level optimisation, R&amp;D territory</t>
  </si>
  <si>
    <t xml:space="preserve">FEATURE SIZE</t>
  </si>
  <si>
    <t xml:space="preserve">Weight 10% - lowest, deliberately. Volume of code is the cheapest thing an agent produces.</t>
  </si>
  <si>
    <t xml:space="preserve">Feature Size</t>
  </si>
  <si>
    <t xml:space="preserve">Single UI element or micro-function, one screen, no persistence</t>
  </si>
  <si>
    <t xml:space="preserve">Small self-contained feature, simple form or display component</t>
  </si>
  <si>
    <t xml:space="preserve">Medium feature with multiple components and backend logic</t>
  </si>
  <si>
    <t xml:space="preserve">Large feature spanning frontend, backend, database and tests</t>
  </si>
  <si>
    <t xml:space="preserve">Epic-scale feature with multiple sub-features or screens - split it before scoring</t>
  </si>
  <si>
    <t xml:space="preserve">DEPENDENCIES</t>
  </si>
  <si>
    <t xml:space="preserve">Dependencies</t>
  </si>
  <si>
    <t xml:space="preserve">Fully standalone, no external services or shared state</t>
  </si>
  <si>
    <t xml:space="preserve">One internal dependency, for example an auth check</t>
  </si>
  <si>
    <t xml:space="preserve">Two or three internal services, or one third-party API</t>
  </si>
  <si>
    <t xml:space="preserve">Multiple third-party APIs, or tightly coupled internal systems</t>
  </si>
  <si>
    <t xml:space="preserve">Deep cross-system dependencies, legacy integrations, shared infrastructure changes</t>
  </si>
  <si>
    <t xml:space="preserve">UNCERTAINTY</t>
  </si>
  <si>
    <t xml:space="preserve">Weight 30% - highest. Unclear requirements are the single largest cost driver in agent-assisted delivery.</t>
  </si>
  <si>
    <t xml:space="preserve">Uncertainty</t>
  </si>
  <si>
    <t xml:space="preserve">Fully defined spec, written acceptance criteria, precedent exists in the codebase</t>
  </si>
  <si>
    <t xml:space="preserve">Minor ambiguities, resolvable with one clarifying question</t>
  </si>
  <si>
    <t xml:space="preserve">Some open questions, design decisions to be made during the build</t>
  </si>
  <si>
    <t xml:space="preserve">Significant unknowns, exploratory work needed, spec likely to change</t>
  </si>
  <si>
    <t xml:space="preserve">Highly experimental, no clear solution path, outcomes unclear</t>
  </si>
  <si>
    <t xml:space="preserve">RISK</t>
  </si>
  <si>
    <t xml:space="preserve">Weight 20% - blast radius if it goes wrong, not likelihood.</t>
  </si>
  <si>
    <t xml:space="preserve">Risk</t>
  </si>
  <si>
    <t xml:space="preserve">Fully reversible, no user data, isolated module</t>
  </si>
  <si>
    <t xml:space="preserve">Low stakes, easy rollback, minimal user impact</t>
  </si>
  <si>
    <t xml:space="preserve">Moderate impact if broken, requires testing, affects multiple users</t>
  </si>
  <si>
    <t xml:space="preserve">Payments, auth, data migrations or PII - high business impact</t>
  </si>
  <si>
    <t xml:space="preserve">Core infrastructure, compliance requirements, irreversible operations</t>
  </si>
  <si>
    <t xml:space="preserve">SCORING DISCIPLINE - THE RULES THAT MAKE SCORES COMPARABLE</t>
  </si>
  <si>
    <t xml:space="preserve">-  Whole numbers only. If you want to score 3.5, you have not decided which anchor applies - reread both and pick one.</t>
  </si>
  <si>
    <t xml:space="preserve">-  Score the feature as it will actually be built in THIS codebase, not the textbook version of it.</t>
  </si>
  <si>
    <t xml:space="preserve">-  Uncertainty is about what you do not know. Risk is about what happens if you get it wrong. A feature can be certain and still high-risk, like a well-understood payment migration.</t>
  </si>
  <si>
    <t xml:space="preserve">-  Score Uncertainty honestly at the moment of estimating. Scoring it low because you intend to clarify later is how estimates fail.</t>
  </si>
  <si>
    <t xml:space="preserve">-  If two estimators differ by two or more points on any dimension, the feature is not understood well enough to price. Talk it through before entering a number.</t>
  </si>
  <si>
    <t xml:space="preserve">-  Never score a feature you cannot describe in one sentence. Split it first.</t>
  </si>
  <si>
    <t xml:space="preserve">-  Re-score, do not adjust the price. If the number looks wrong, the scores are wrong - fix those.</t>
  </si>
  <si>
    <t xml:space="preserve">TIER REFERENCE &amp; MODEL PARAMETERS</t>
  </si>
  <si>
    <t xml:space="preserve">Price bands are continuous - each band ends exactly where the next begins, so there is no cliff at a tier edge.</t>
  </si>
  <si>
    <t xml:space="preserve">BAND
START</t>
  </si>
  <si>
    <t xml:space="preserve">BAND
END</t>
  </si>
  <si>
    <t xml:space="preserve">PRICE
LOW</t>
  </si>
  <si>
    <t xml:space="preserve">PRICE
HIGH</t>
  </si>
  <si>
    <t xml:space="preserve">TYPICAL EXAMPLES</t>
  </si>
  <si>
    <t xml:space="preserve">S - Simple</t>
  </si>
  <si>
    <t xml:space="preserve">Landing page component, simple form, read-only view, email notification</t>
  </si>
  <si>
    <t xml:space="preserve">M - Medium</t>
  </si>
  <si>
    <t xml:space="preserve">User auth, REST API endpoint set, filtered list views, basic admin panel</t>
  </si>
  <si>
    <t xml:space="preserve">L - Large</t>
  </si>
  <si>
    <t xml:space="preserve">Payment integration, role-based permissions, real-time updates, data pipeline</t>
  </si>
  <si>
    <t xml:space="preserve">XL - Complex</t>
  </si>
  <si>
    <t xml:space="preserve">AI/ML features, distributed job processing, multi-tenant architecture, compliance modules</t>
  </si>
  <si>
    <t xml:space="preserve">Band Start / Band End are score thresholds. Price Low of each tier equals Price High of the tier below, which is what makes the pricing curve continuous. If you change any figure, keep that chain intact or you reintroduce the cliff v1 had.</t>
  </si>
  <si>
    <t xml:space="preserve">MODEL PARAMETERS</t>
  </si>
  <si>
    <t xml:space="preserve">Base spread when all dimensions score 1</t>
  </si>
  <si>
    <t xml:space="preserve">Minimum honest uncertainty on any estimate. Nothing is ever plus or minus zero.</t>
  </si>
  <si>
    <t xml:space="preserve">Extra spread per Uncertainty point above 1</t>
  </si>
  <si>
    <t xml:space="preserve">Uncertainty widens the range faster than anything else.</t>
  </si>
  <si>
    <t xml:space="preserve">Extra spread per Risk point above 1</t>
  </si>
  <si>
    <t xml:space="preserve">Risk widens the range too, but less - risk raises cost more than it raises variance.</t>
  </si>
  <si>
    <t xml:space="preserve">Point estimate above which a deep estimate is advised</t>
  </si>
  <si>
    <t xml:space="preserve">Any single feature worth more than this should be estimated bottom-up, not scored.</t>
  </si>
  <si>
    <t xml:space="preserve">READ THIS BEFORE CHANGING THE PRICE BANDS</t>
  </si>
  <si>
    <t xml:space="preserve">-  These bands encode an assumed blended rate. Before you trust them, divide a band midpoint by the hours you actually spent on a comparable delivered feature and check the implied rate is one you would defend out loud.</t>
  </si>
  <si>
    <t xml:space="preserve">-  The XL band tops out at $25,000 by design. A feature that genuinely exceeds it is not a feature - it is a phase. Decompose it.</t>
  </si>
  <si>
    <t xml:space="preserve">-  Recalibrate these bands from delivered actuals roughly twice a year. The Actuals and Calibration sheet in the companion Deep Estimator workbook is where that evidence accumulates.</t>
  </si>
  <si>
    <t xml:space="preserve">PROJECT ROLL-UP</t>
  </si>
  <si>
    <t xml:space="preserve">Feature build effort is roughly half of a project. This sheet adds the other half.</t>
  </si>
  <si>
    <t xml:space="preserve">1.  FEATURE BUILD SUBTOTAL</t>
  </si>
  <si>
    <t xml:space="preserve">Number of features scored</t>
  </si>
  <si>
    <t xml:space="preserve">From the Ballpark Estimator sheet.</t>
  </si>
  <si>
    <t xml:space="preserve">Sum of feature point estimates</t>
  </si>
  <si>
    <t xml:space="preserve">2.  PROJECT CONTEXT FACTORS</t>
  </si>
  <si>
    <t xml:space="preserve">These apply to the whole project. Enter a level of 1 to 4 for each. Factors combine additively (1 + sum of the deviations), not multiplicatively - multiplying nine factors together produces absurd numbers.</t>
  </si>
  <si>
    <t xml:space="preserve">FACTOR</t>
  </si>
  <si>
    <t xml:space="preserve">LEVEL
(1-4)</t>
  </si>
  <si>
    <t xml:space="preserve">MULTI-
PLIER</t>
  </si>
  <si>
    <t xml:space="preserve">LEVEL DEFINITIONS  (1 / 2 / 3 / 4)</t>
  </si>
  <si>
    <t xml:space="preserve">Lvl 1</t>
  </si>
  <si>
    <t xml:space="preserve">Lvl 2</t>
  </si>
  <si>
    <t xml:space="preserve">Lvl 3</t>
  </si>
  <si>
    <t xml:space="preserve">Lvl 4</t>
  </si>
  <si>
    <t xml:space="preserve">Codebase maturity</t>
  </si>
  <si>
    <t xml:space="preserve">Greenfield / young and clean / mature with history / legacy, low test coverage</t>
  </si>
  <si>
    <t xml:space="preserve">Stack &amp; domain familiarity</t>
  </si>
  <si>
    <t xml:space="preserve">Core stack, done before / adjacent, some learning / new to the team / new to the team</t>
  </si>
  <si>
    <t xml:space="preserve">Specification quality at estimate time</t>
  </si>
  <si>
    <t xml:space="preserve">Signed-off AC / clear written brief / outline or slide deck / verbal conversation only</t>
  </si>
  <si>
    <t xml:space="preserve">Compliance &amp; data sensitivity</t>
  </si>
  <si>
    <t xml:space="preserve">None / handles PII / regulated - HIPAA, SOC2, GDPR audit / regulated</t>
  </si>
  <si>
    <t xml:space="preserve">Client decision structure</t>
  </si>
  <si>
    <t xml:space="preserve">One fast approver / two or three / committee sign-off / committee plus external review</t>
  </si>
  <si>
    <t xml:space="preserve">COMPOSITE CONTEXT MULTIPLIER</t>
  </si>
  <si>
    <t xml:space="preserve">Applied to the feature subtotal before overheads are calculated.</t>
  </si>
  <si>
    <t xml:space="preserve">Cap on composite multiplier</t>
  </si>
  <si>
    <t xml:space="preserve">A safety rail. If you are hitting the cap, the project needs a discovery phase, not an estimate.</t>
  </si>
  <si>
    <t xml:space="preserve">3.  ADJUSTED BUILD BASE</t>
  </si>
  <si>
    <t xml:space="preserve">Feature subtotal x composite context multiplier</t>
  </si>
  <si>
    <t xml:space="preserve">All percentages below are applied to this figure.</t>
  </si>
  <si>
    <t xml:space="preserve">4.  WORK THAT FEATURE SCORING NEVER CAPTURES</t>
  </si>
  <si>
    <t xml:space="preserve">COST LINE</t>
  </si>
  <si>
    <t xml:space="preserve">% OF BASE</t>
  </si>
  <si>
    <t xml:space="preserve">AMOUNT</t>
  </si>
  <si>
    <t xml:space="preserve">WHAT IT COVERS</t>
  </si>
  <si>
    <t xml:space="preserve">Shared foundation &amp; scaffolding</t>
  </si>
  <si>
    <t xml:space="preserve">Repo setup, environments, auth scaffolding, design system, base data model, agent context files. Counted once, belongs to no single feature.</t>
  </si>
  <si>
    <t xml:space="preserve">Discovery &amp; specification</t>
  </si>
  <si>
    <t xml:space="preserve">Requirements workshops, writing acceptance criteria, technical design decisions.</t>
  </si>
  <si>
    <t xml:space="preserve">UX / UI design</t>
  </si>
  <si>
    <t xml:space="preserve">Wireframes, visual design, design review cycles. Set to zero if the client supplies finished designs - and say so in the exclusions.</t>
  </si>
  <si>
    <t xml:space="preserve">QA &amp; user acceptance testing</t>
  </si>
  <si>
    <t xml:space="preserve">Test planning, exploratory testing, regression, UAT support and defect triage.</t>
  </si>
  <si>
    <t xml:space="preserve">DevOps, environments &amp; release</t>
  </si>
  <si>
    <t xml:space="preserve">Pipelines, staging, secrets, monitoring, release management.</t>
  </si>
  <si>
    <t xml:space="preserve">Documentation &amp; handover</t>
  </si>
  <si>
    <t xml:space="preserve">Technical docs, runbooks, walkthrough sessions.</t>
  </si>
  <si>
    <t xml:space="preserve">Project management &amp; client comms</t>
  </si>
  <si>
    <t xml:space="preserve">Planning, stand-ups, status reporting, demos, change control.</t>
  </si>
  <si>
    <t xml:space="preserve">Cross-feature integration</t>
  </si>
  <si>
    <t xml:space="preserve">Wiring features to each other, shared-state bugs, end-to-end flows. Grows with feature count because interfaces grow faster than features do.</t>
  </si>
  <si>
    <t xml:space="preserve">     Integration cap</t>
  </si>
  <si>
    <t xml:space="preserve">     Integration rate per feature</t>
  </si>
  <si>
    <t xml:space="preserve">TOTAL NON-FEATURE WORK</t>
  </si>
  <si>
    <t xml:space="preserve">5.  CONTINGENCY</t>
  </si>
  <si>
    <t xml:space="preserve">Average Uncertainty score across features</t>
  </si>
  <si>
    <t xml:space="preserve">Average Risk score across features</t>
  </si>
  <si>
    <t xml:space="preserve">Base contingency</t>
  </si>
  <si>
    <t xml:space="preserve">Per point of average Uncertainty</t>
  </si>
  <si>
    <t xml:space="preserve">Per point of average Risk</t>
  </si>
  <si>
    <t xml:space="preserve">CONTINGENCY RATE</t>
  </si>
  <si>
    <t xml:space="preserve">Contingency covers known-unknowns inside the agreed scope. It is not a discount to give away in negotiation.</t>
  </si>
  <si>
    <t xml:space="preserve">6.  PROJECT ESTIMATE</t>
  </si>
  <si>
    <t xml:space="preserve">Adjusted feature build</t>
  </si>
  <si>
    <t xml:space="preserve">Non-feature work</t>
  </si>
  <si>
    <t xml:space="preserve">Contingency</t>
  </si>
  <si>
    <t xml:space="preserve">EXPECTED PROJECT COST  (P50)</t>
  </si>
  <si>
    <t xml:space="preserve">Combined feature-level spread (1 sigma, build only)</t>
  </si>
  <si>
    <t xml:space="preserve">Root-sum-of-squares, not a plain sum. Independent features do not all miss in the same direction.</t>
  </si>
  <si>
    <t xml:space="preserve">Scaled to full project cost (1 sigma)</t>
  </si>
  <si>
    <t xml:space="preserve">Optimistic  (P20)</t>
  </si>
  <si>
    <t xml:space="preserve">Confident  (P80)</t>
  </si>
  <si>
    <t xml:space="preserve">Worst realistic case  (P95)</t>
  </si>
  <si>
    <t xml:space="preserve">Rounding increment for presented figures</t>
  </si>
  <si>
    <t xml:space="preserve">RANGE TO PRESENT TO THE CLIENT</t>
  </si>
  <si>
    <t xml:space="preserve">Lead with the range. If the client demands a single number, quote the P80 - not the P50.</t>
  </si>
  <si>
    <t xml:space="preserve">If a single fixed number is unavoidable, quote</t>
  </si>
  <si>
    <t xml:space="preserve">Implied accuracy of this estimate</t>
  </si>
  <si>
    <t xml:space="preserve">Plus or minus one sigma as a share of the expected cost. Above 30% means this should be a discovery engagement, not a fixed-price proposal.</t>
  </si>
  <si>
    <t xml:space="preserve">7.  ASSUMPTIONS  -  REQUIRED, NOT OPTIONAL</t>
  </si>
  <si>
    <t xml:space="preserve">Client provides finished UI designs before build starts on each feature.</t>
  </si>
  <si>
    <t xml:space="preserve">Client provides API credentials and sandbox access for all third-party services within five working days of request.</t>
  </si>
  <si>
    <t xml:space="preserve">One round of consolidated feedback per feature is included; the client nominates a single approver.</t>
  </si>
  <si>
    <t xml:space="preserve">Existing codebase, test suite and CI pipeline are in the state described during discovery.</t>
  </si>
  <si>
    <t xml:space="preserve">Test data representative of production is supplied by the client.</t>
  </si>
  <si>
    <t xml:space="preserve">8.  EXCLUSIONS  -  WHAT THIS PRICE DOES NOT COVER</t>
  </si>
  <si>
    <t xml:space="preserve">Hosting, infrastructure and third-party subscription fees, which are billed to the client directly.</t>
  </si>
  <si>
    <t xml:space="preserve">LLM and AI API consumption in production.</t>
  </si>
  <si>
    <t xml:space="preserve">Content creation, copywriting, translation and data entry.</t>
  </si>
  <si>
    <t xml:space="preserve">Load testing, penetration testing and formal security audit.</t>
  </si>
  <si>
    <t xml:space="preserve">Native mobile applications.</t>
  </si>
  <si>
    <t xml:space="preserve">Post-launch support and maintenance, which is quoted separately.</t>
  </si>
  <si>
    <t xml:space="preserve">Migration of historical data beyond the volumes stated in discovery.</t>
  </si>
  <si>
    <t xml:space="preserve">9.  VALIDITY &amp; STATUS</t>
  </si>
  <si>
    <t xml:space="preserve">Estimate prepared on</t>
  </si>
  <si>
    <t xml:space="preserve">Valid until</t>
  </si>
  <si>
    <t xml:space="preserve">Reviewed by (second estimator)</t>
  </si>
  <si>
    <t xml:space="preserve">BALLPARK - NOT A QUOTE</t>
  </si>
  <si>
    <t xml:space="preserve">Before this leaves the building: every feature flagged for a deep estimate has had one, the assumptions and exclusions are written in full, and a second person has reviewed the scores. If any of those three is not true, it is not ready to send.</t>
  </si>
</sst>
</file>

<file path=xl/styles.xml><?xml version="1.0" encoding="utf-8"?>
<styleSheet xmlns="http://schemas.openxmlformats.org/spreadsheetml/2006/main">
  <numFmts count="8">
    <numFmt numFmtId="164" formatCode="General"/>
    <numFmt numFmtId="165" formatCode="0%;\-0%;\-"/>
    <numFmt numFmtId="166" formatCode="0"/>
    <numFmt numFmtId="167" formatCode="0.0;\-0.0;\-"/>
    <numFmt numFmtId="168" formatCode="\$#,##0;&quot;($&quot;#,##0\);\-"/>
    <numFmt numFmtId="169" formatCode="#,##0;\-#,##0;\-"/>
    <numFmt numFmtId="170" formatCode="0.00"/>
    <numFmt numFmtId="171" formatCode="0.0%;\-0.0%;\-"/>
  </numFmts>
  <fonts count="30">
    <font>
      <sz val="11"/>
      <color theme="1"/>
      <name val="Calibri"/>
      <family val="0"/>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0"/>
      <color rgb="FFFFFFFF"/>
      <name val="Arial"/>
      <family val="0"/>
      <charset val="1"/>
    </font>
    <font>
      <sz val="9"/>
      <color rgb="FF1F2937"/>
      <name val="Arial"/>
      <family val="0"/>
      <charset val="1"/>
    </font>
    <font>
      <b val="true"/>
      <sz val="9"/>
      <color rgb="FFFFFFFF"/>
      <name val="Arial"/>
      <family val="0"/>
      <charset val="1"/>
    </font>
    <font>
      <b val="true"/>
      <sz val="9"/>
      <color rgb="FF1F2937"/>
      <name val="Arial"/>
      <family val="0"/>
      <charset val="1"/>
    </font>
    <font>
      <b val="true"/>
      <sz val="9"/>
      <color rgb="FF0000FF"/>
      <name val="Arial"/>
      <family val="0"/>
      <charset val="1"/>
    </font>
    <font>
      <b val="true"/>
      <sz val="9"/>
      <color rgb="FF008000"/>
      <name val="Arial"/>
      <family val="0"/>
      <charset val="1"/>
    </font>
    <font>
      <i val="true"/>
      <sz val="9"/>
      <color rgb="FF7C2D12"/>
      <name val="Arial"/>
      <family val="0"/>
      <charset val="1"/>
    </font>
    <font>
      <b val="true"/>
      <sz val="8"/>
      <color rgb="FF64748B"/>
      <name val="Arial"/>
      <family val="0"/>
      <charset val="1"/>
    </font>
    <font>
      <sz val="9"/>
      <color rgb="FF0000FF"/>
      <name val="Arial"/>
      <family val="0"/>
      <charset val="1"/>
    </font>
    <font>
      <i val="true"/>
      <sz val="8"/>
      <color rgb="FFB91C1C"/>
      <name val="Arial"/>
      <family val="0"/>
      <charset val="1"/>
    </font>
    <font>
      <b val="true"/>
      <sz val="8"/>
      <color rgb="FF7C2D12"/>
      <name val="Arial"/>
      <family val="0"/>
      <charset val="1"/>
    </font>
    <font>
      <b val="true"/>
      <sz val="9"/>
      <color rgb="FFB91C1C"/>
      <name val="Arial"/>
      <family val="0"/>
      <charset val="1"/>
    </font>
    <font>
      <i val="true"/>
      <sz val="8"/>
      <color rgb="FF64748B"/>
      <name val="Arial"/>
      <family val="0"/>
      <charset val="1"/>
    </font>
    <font>
      <sz val="9"/>
      <color rgb="FFB91C1C"/>
      <name val="Arial"/>
      <family val="0"/>
      <charset val="1"/>
    </font>
    <font>
      <i val="true"/>
      <sz val="8"/>
      <color rgb="FF7C2D12"/>
      <name val="Arial"/>
      <family val="0"/>
      <charset val="1"/>
    </font>
    <font>
      <sz val="8"/>
      <color theme="1"/>
      <name val="Arial"/>
      <family val="0"/>
      <charset val="1"/>
    </font>
    <font>
      <sz val="9"/>
      <color rgb="FF008000"/>
      <name val="Arial"/>
      <family val="0"/>
      <charset val="1"/>
    </font>
    <font>
      <b val="true"/>
      <sz val="8"/>
      <color rgb="FFFFFFFF"/>
      <name val="Arial"/>
      <family val="0"/>
      <charset val="1"/>
    </font>
    <font>
      <sz val="8"/>
      <color rgb="FF64748B"/>
      <name val="Arial"/>
      <family val="0"/>
      <charset val="1"/>
    </font>
    <font>
      <b val="true"/>
      <sz val="10"/>
      <color rgb="FF1F2937"/>
      <name val="Arial"/>
      <family val="0"/>
      <charset val="1"/>
    </font>
    <font>
      <b val="true"/>
      <sz val="11"/>
      <color theme="1"/>
      <name val="Arial"/>
      <family val="0"/>
      <charset val="1"/>
    </font>
    <font>
      <b val="true"/>
      <sz val="11"/>
      <color rgb="FF065F46"/>
      <name val="Arial"/>
      <family val="0"/>
      <charset val="1"/>
    </font>
    <font>
      <i val="true"/>
      <sz val="8"/>
      <color rgb="FF065F46"/>
      <name val="Arial"/>
      <family val="0"/>
      <charset val="1"/>
    </font>
    <font>
      <i val="true"/>
      <sz val="9"/>
      <color rgb="FFB91C1C"/>
      <name val="Arial"/>
      <family val="0"/>
      <charset val="1"/>
    </font>
  </fonts>
  <fills count="13">
    <fill>
      <patternFill patternType="none"/>
    </fill>
    <fill>
      <patternFill patternType="gray125"/>
    </fill>
    <fill>
      <patternFill patternType="solid">
        <fgColor rgb="FF1F2937"/>
        <bgColor rgb="FF333300"/>
      </patternFill>
    </fill>
    <fill>
      <patternFill patternType="solid">
        <fgColor rgb="FF334155"/>
        <bgColor rgb="FF1F2937"/>
      </patternFill>
    </fill>
    <fill>
      <patternFill patternType="solid">
        <fgColor rgb="FFFFF9C4"/>
        <bgColor rgb="FFFFFBEB"/>
      </patternFill>
    </fill>
    <fill>
      <patternFill patternType="solid">
        <fgColor rgb="FFFFFFFF"/>
        <bgColor rgb="FFF8FAFC"/>
      </patternFill>
    </fill>
    <fill>
      <patternFill patternType="solid">
        <fgColor rgb="FF7C2D12"/>
        <bgColor rgb="FF993366"/>
      </patternFill>
    </fill>
    <fill>
      <patternFill patternType="solid">
        <fgColor rgb="FFF8FAFC"/>
        <bgColor rgb="FFFFFFFF"/>
      </patternFill>
    </fill>
    <fill>
      <patternFill patternType="solid">
        <fgColor rgb="FFF1F5F9"/>
        <bgColor rgb="FFEFF6FF"/>
      </patternFill>
    </fill>
    <fill>
      <patternFill patternType="solid">
        <fgColor rgb="FFECFDF5"/>
        <bgColor rgb="FFEFF6FF"/>
      </patternFill>
    </fill>
    <fill>
      <patternFill patternType="solid">
        <fgColor rgb="FFEFF6FF"/>
        <bgColor rgb="FFF1F5F9"/>
      </patternFill>
    </fill>
    <fill>
      <patternFill patternType="solid">
        <fgColor rgb="FFFFFBEB"/>
        <bgColor rgb="FFF8FAFC"/>
      </patternFill>
    </fill>
    <fill>
      <patternFill patternType="solid">
        <fgColor rgb="FFFEF2F2"/>
        <bgColor rgb="FFFFFBEB"/>
      </patternFill>
    </fill>
  </fills>
  <borders count="3">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CBD5E1"/>
      </left>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6" fillId="6"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5" fontId="14" fillId="4"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general" vertical="center" textRotation="0" wrapText="true" indent="0" shrinkToFit="false"/>
      <protection locked="true" hidden="false"/>
    </xf>
    <xf numFmtId="164" fontId="14" fillId="4" borderId="1" xfId="0" applyFont="true" applyBorder="true" applyAlignment="true" applyProtection="false">
      <alignment horizontal="general" vertical="center" textRotation="0" wrapText="true" indent="0" shrinkToFit="false"/>
      <protection locked="true" hidden="false"/>
    </xf>
    <xf numFmtId="166" fontId="14" fillId="4" borderId="1" xfId="0" applyFont="true" applyBorder="true" applyAlignment="true" applyProtection="false">
      <alignment horizontal="center" vertical="center" textRotation="0" wrapText="false" indent="0" shrinkToFit="false"/>
      <protection locked="true" hidden="false"/>
    </xf>
    <xf numFmtId="167" fontId="9"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8" fontId="9" fillId="5"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center" vertical="center" textRotation="0" wrapText="true" indent="0" shrinkToFit="false"/>
      <protection locked="true" hidden="false"/>
    </xf>
    <xf numFmtId="168" fontId="7" fillId="5" borderId="1" xfId="0" applyFont="true" applyBorder="true" applyAlignment="true" applyProtection="false">
      <alignment horizontal="center" vertical="center" textRotation="0" wrapText="true" indent="0" shrinkToFit="false"/>
      <protection locked="true" hidden="false"/>
    </xf>
    <xf numFmtId="164" fontId="19" fillId="5" borderId="1" xfId="0" applyFont="true" applyBorder="true" applyAlignment="true" applyProtection="false">
      <alignment horizontal="left" vertical="center" textRotation="0" wrapText="true" indent="0" shrinkToFit="false"/>
      <protection locked="true" hidden="false"/>
    </xf>
    <xf numFmtId="167" fontId="9"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8" fontId="9" fillId="7" borderId="1" xfId="0" applyFont="true" applyBorder="true" applyAlignment="true" applyProtection="false">
      <alignment horizontal="center" vertical="center" textRotation="0" wrapText="true" indent="0" shrinkToFit="false"/>
      <protection locked="true" hidden="false"/>
    </xf>
    <xf numFmtId="165" fontId="7" fillId="7" borderId="1" xfId="0" applyFont="true" applyBorder="true" applyAlignment="true" applyProtection="false">
      <alignment horizontal="center" vertical="center" textRotation="0" wrapText="true" indent="0" shrinkToFit="false"/>
      <protection locked="true" hidden="false"/>
    </xf>
    <xf numFmtId="168" fontId="7" fillId="7" borderId="1"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9" fontId="8" fillId="2" borderId="1" xfId="0" applyFont="true" applyBorder="true" applyAlignment="true" applyProtection="false">
      <alignment horizontal="center" vertical="center" textRotation="0" wrapText="true" indent="0" shrinkToFit="false"/>
      <protection locked="true" hidden="false"/>
    </xf>
    <xf numFmtId="168" fontId="8" fillId="2"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20" fillId="0" borderId="0"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general" vertical="center"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7" fontId="14" fillId="4" borderId="1" xfId="0" applyFont="true" applyBorder="true" applyAlignment="true" applyProtection="false">
      <alignment horizontal="center" vertical="center" textRotation="0" wrapText="true" indent="0" shrinkToFit="false"/>
      <protection locked="true" hidden="false"/>
    </xf>
    <xf numFmtId="168" fontId="14" fillId="4"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7" fillId="12" borderId="1"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8" fontId="14" fillId="4" borderId="1" xfId="0" applyFont="true" applyBorder="true" applyAlignment="true" applyProtection="false">
      <alignment horizontal="center" vertical="center" textRotation="0" wrapText="false" indent="0" shrinkToFit="false"/>
      <protection locked="true" hidden="false"/>
    </xf>
    <xf numFmtId="169" fontId="22" fillId="0" borderId="1" xfId="0" applyFont="true" applyBorder="true" applyAlignment="true" applyProtection="false">
      <alignment horizontal="center" vertical="center" textRotation="0" wrapText="true" indent="0" shrinkToFit="false"/>
      <protection locked="true" hidden="false"/>
    </xf>
    <xf numFmtId="168" fontId="11" fillId="0" borderId="1" xfId="0" applyFont="true" applyBorder="true" applyAlignment="true" applyProtection="false">
      <alignment horizontal="center" vertical="center" textRotation="0" wrapText="true" indent="0" shrinkToFit="false"/>
      <protection locked="true" hidden="false"/>
    </xf>
    <xf numFmtId="164" fontId="23" fillId="3" borderId="1" xfId="0" applyFont="true" applyBorder="true" applyAlignment="true" applyProtection="false">
      <alignment horizontal="center" vertical="center" textRotation="0" wrapText="false" indent="0" shrinkToFit="false"/>
      <protection locked="true" hidden="false"/>
    </xf>
    <xf numFmtId="170" fontId="9" fillId="0"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true" indent="0" shrinkToFit="false"/>
      <protection locked="true" hidden="false"/>
    </xf>
    <xf numFmtId="170" fontId="24" fillId="0" borderId="0" xfId="0" applyFont="true" applyBorder="false" applyAlignment="true" applyProtection="false">
      <alignment horizontal="center" vertical="bottom" textRotation="0" wrapText="false" indent="0" shrinkToFit="false"/>
      <protection locked="true" hidden="false"/>
    </xf>
    <xf numFmtId="170" fontId="9" fillId="11"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70" fontId="14" fillId="4" borderId="1" xfId="0" applyFont="true" applyBorder="true" applyAlignment="true" applyProtection="false">
      <alignment horizontal="center" vertical="center" textRotation="0" wrapText="false" indent="0" shrinkToFit="false"/>
      <protection locked="true" hidden="false"/>
    </xf>
    <xf numFmtId="168" fontId="9" fillId="8"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7" fontId="22" fillId="0" borderId="1"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true" indent="0" shrinkToFit="false"/>
      <protection locked="true" hidden="false"/>
    </xf>
    <xf numFmtId="168" fontId="26" fillId="11" borderId="1" xfId="0" applyFont="true" applyBorder="true" applyAlignment="true" applyProtection="false">
      <alignment horizontal="center" vertical="center" textRotation="0" wrapText="true" indent="0" shrinkToFit="false"/>
      <protection locked="true" hidden="false"/>
    </xf>
    <xf numFmtId="168" fontId="9" fillId="0" borderId="1" xfId="0" applyFont="true" applyBorder="true" applyAlignment="true" applyProtection="false">
      <alignment horizontal="center" vertical="center" textRotation="0" wrapText="true" indent="0" shrinkToFit="false"/>
      <protection locked="true" hidden="false"/>
    </xf>
    <xf numFmtId="168" fontId="27" fillId="9" borderId="1"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general" vertical="center" textRotation="0" wrapText="true" indent="0" shrinkToFit="false"/>
      <protection locked="true" hidden="false"/>
    </xf>
    <xf numFmtId="171" fontId="7" fillId="0" borderId="1" xfId="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general" vertical="center" textRotation="0" wrapText="true" indent="0" shrinkToFit="false"/>
      <protection locked="true" hidden="false"/>
    </xf>
    <xf numFmtId="164" fontId="29"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65F46"/>
      <rgbColor rgb="FFF8FAFC"/>
      <rgbColor rgb="FF808080"/>
      <rgbColor rgb="FF9999FF"/>
      <rgbColor rgb="FFB91C1C"/>
      <rgbColor rgb="FFFFF9C4"/>
      <rgbColor rgb="FFECFDF5"/>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EFF6FF"/>
      <rgbColor rgb="FFF1F5F9"/>
      <rgbColor rgb="FFFFFBEB"/>
      <rgbColor rgb="FF99CCFF"/>
      <rgbColor rgb="FFFF99CC"/>
      <rgbColor rgb="FFCC99FF"/>
      <rgbColor rgb="FFFEF2F2"/>
      <rgbColor rgb="FF3366FF"/>
      <rgbColor rgb="FF33CCCC"/>
      <rgbColor rgb="FF99CC00"/>
      <rgbColor rgb="FFFFCC00"/>
      <rgbColor rgb="FFFF9900"/>
      <rgbColor rgb="FFFF6600"/>
      <rgbColor rgb="FF64748B"/>
      <rgbColor rgb="FF969696"/>
      <rgbColor rgb="FF003366"/>
      <rgbColor rgb="FF339966"/>
      <rgbColor rgb="FF003300"/>
      <rgbColor rgb="FF333300"/>
      <rgbColor rgb="FF7C2D12"/>
      <rgbColor rgb="FF993366"/>
      <rgbColor rgb="FF334155"/>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22"/>
    <col collapsed="false" customWidth="true" hidden="false" outlineLevel="0" max="7" min="4" style="0" width="20"/>
    <col collapsed="false" customWidth="true" hidden="false" outlineLevel="0" max="26" min="8" style="0" width="8.71"/>
  </cols>
  <sheetData>
    <row r="1" customFormat="false" ht="30" hidden="false" customHeight="true" outlineLevel="0" collapsed="false">
      <c r="A1" s="1" t="s">
        <v>0</v>
      </c>
      <c r="B1" s="1"/>
      <c r="C1" s="1"/>
      <c r="D1" s="1"/>
      <c r="E1" s="1"/>
      <c r="F1" s="1"/>
      <c r="G1" s="1"/>
    </row>
    <row r="2" customFormat="false" ht="19.5" hidden="false" customHeight="true" outlineLevel="0" collapsed="false">
      <c r="A2" s="2" t="s">
        <v>1</v>
      </c>
      <c r="B2" s="2"/>
      <c r="C2" s="2"/>
      <c r="D2" s="2"/>
      <c r="E2" s="2"/>
      <c r="F2" s="2"/>
      <c r="G2" s="2"/>
    </row>
    <row r="4" customFormat="false" ht="19.5" hidden="false" customHeight="true" outlineLevel="0" collapsed="false">
      <c r="A4" s="3" t="s">
        <v>2</v>
      </c>
      <c r="B4" s="3"/>
      <c r="C4" s="3"/>
      <c r="D4" s="3"/>
      <c r="E4" s="3"/>
      <c r="F4" s="3"/>
      <c r="G4" s="3"/>
    </row>
    <row r="5" customFormat="false" ht="42" hidden="false" customHeight="true" outlineLevel="0" collapsed="false">
      <c r="B5" s="4" t="s">
        <v>3</v>
      </c>
      <c r="C5" s="4"/>
      <c r="D5" s="4"/>
      <c r="E5" s="4"/>
      <c r="F5" s="4"/>
      <c r="G5" s="4"/>
    </row>
    <row r="6" customFormat="false" ht="42" hidden="false" customHeight="true" outlineLevel="0" collapsed="false">
      <c r="B6" s="4" t="s">
        <v>4</v>
      </c>
      <c r="C6" s="4"/>
      <c r="D6" s="4"/>
      <c r="E6" s="4"/>
      <c r="F6" s="4"/>
      <c r="G6" s="4"/>
    </row>
    <row r="7" customFormat="false" ht="42" hidden="false" customHeight="true" outlineLevel="0" collapsed="false">
      <c r="B7" s="4" t="s">
        <v>5</v>
      </c>
      <c r="C7" s="4"/>
      <c r="D7" s="4"/>
      <c r="E7" s="4"/>
      <c r="F7" s="4"/>
      <c r="G7" s="4"/>
    </row>
    <row r="9" customFormat="false" ht="19.5" hidden="false" customHeight="true" outlineLevel="0" collapsed="false">
      <c r="A9" s="3" t="s">
        <v>6</v>
      </c>
      <c r="B9" s="3"/>
      <c r="C9" s="3"/>
      <c r="D9" s="3"/>
      <c r="E9" s="3"/>
      <c r="F9" s="3"/>
      <c r="G9" s="3"/>
    </row>
    <row r="10" customFormat="false" ht="18" hidden="false" customHeight="true" outlineLevel="0" collapsed="false">
      <c r="A10" s="5"/>
      <c r="B10" s="5" t="s">
        <v>7</v>
      </c>
      <c r="C10" s="5" t="s">
        <v>8</v>
      </c>
      <c r="D10" s="5" t="s">
        <v>9</v>
      </c>
      <c r="E10" s="5"/>
      <c r="F10" s="5"/>
      <c r="G10" s="5"/>
    </row>
    <row r="11" customFormat="false" ht="30" hidden="false" customHeight="true" outlineLevel="0" collapsed="false">
      <c r="B11" s="6" t="s">
        <v>10</v>
      </c>
      <c r="C11" s="7" t="s">
        <v>11</v>
      </c>
      <c r="D11" s="7"/>
      <c r="E11" s="7"/>
      <c r="F11" s="7"/>
      <c r="G11" s="7"/>
    </row>
    <row r="12" customFormat="false" ht="30" hidden="false" customHeight="true" outlineLevel="0" collapsed="false">
      <c r="B12" s="6" t="s">
        <v>12</v>
      </c>
      <c r="C12" s="7" t="s">
        <v>13</v>
      </c>
      <c r="D12" s="7"/>
      <c r="E12" s="7"/>
      <c r="F12" s="7"/>
      <c r="G12" s="7"/>
    </row>
    <row r="13" customFormat="false" ht="30" hidden="false" customHeight="true" outlineLevel="0" collapsed="false">
      <c r="B13" s="6" t="s">
        <v>14</v>
      </c>
      <c r="C13" s="7" t="s">
        <v>15</v>
      </c>
      <c r="D13" s="7"/>
      <c r="E13" s="7"/>
      <c r="F13" s="7"/>
      <c r="G13" s="7"/>
    </row>
    <row r="14" customFormat="false" ht="30" hidden="false" customHeight="true" outlineLevel="0" collapsed="false">
      <c r="B14" s="6" t="s">
        <v>16</v>
      </c>
      <c r="C14" s="7" t="s">
        <v>17</v>
      </c>
      <c r="D14" s="7"/>
      <c r="E14" s="7"/>
      <c r="F14" s="7"/>
      <c r="G14" s="7"/>
    </row>
    <row r="15" customFormat="false" ht="30" hidden="false" customHeight="true" outlineLevel="0" collapsed="false">
      <c r="B15" s="6" t="s">
        <v>18</v>
      </c>
      <c r="C15" s="7" t="s">
        <v>19</v>
      </c>
      <c r="D15" s="7"/>
      <c r="E15" s="7"/>
      <c r="F15" s="7"/>
      <c r="G15" s="7"/>
    </row>
    <row r="16" customFormat="false" ht="30" hidden="false" customHeight="true" outlineLevel="0" collapsed="false">
      <c r="B16" s="6" t="s">
        <v>20</v>
      </c>
      <c r="C16" s="7" t="s">
        <v>21</v>
      </c>
      <c r="D16" s="7"/>
      <c r="E16" s="7"/>
      <c r="F16" s="7"/>
      <c r="G16" s="7"/>
    </row>
    <row r="18" customFormat="false" ht="19.5" hidden="false" customHeight="true" outlineLevel="0" collapsed="false">
      <c r="A18" s="3" t="s">
        <v>22</v>
      </c>
      <c r="B18" s="3"/>
      <c r="C18" s="3"/>
      <c r="D18" s="3"/>
      <c r="E18" s="3"/>
      <c r="F18" s="3"/>
      <c r="G18" s="3"/>
    </row>
    <row r="19" customFormat="false" ht="18" hidden="false" customHeight="true" outlineLevel="0" collapsed="false">
      <c r="B19" s="8" t="s">
        <v>23</v>
      </c>
      <c r="C19" s="7" t="s">
        <v>24</v>
      </c>
      <c r="D19" s="7"/>
      <c r="E19" s="7"/>
      <c r="F19" s="7"/>
      <c r="G19" s="7"/>
    </row>
    <row r="20" customFormat="false" ht="18" hidden="false" customHeight="true" outlineLevel="0" collapsed="false">
      <c r="B20" s="9" t="s">
        <v>25</v>
      </c>
      <c r="C20" s="7" t="s">
        <v>26</v>
      </c>
      <c r="D20" s="7"/>
      <c r="E20" s="7"/>
      <c r="F20" s="7"/>
      <c r="G20" s="7"/>
    </row>
    <row r="21" customFormat="false" ht="18" hidden="false" customHeight="true" outlineLevel="0" collapsed="false">
      <c r="B21" s="10" t="s">
        <v>27</v>
      </c>
      <c r="C21" s="7" t="s">
        <v>28</v>
      </c>
      <c r="D21" s="7"/>
      <c r="E21" s="7"/>
      <c r="F21" s="7"/>
      <c r="G21" s="7"/>
    </row>
    <row r="22" customFormat="false" ht="15.75" hidden="false" customHeight="true" outlineLevel="0" collapsed="false"/>
    <row r="23" customFormat="false" ht="19.5" hidden="false" customHeight="true" outlineLevel="0" collapsed="false">
      <c r="A23" s="11" t="s">
        <v>29</v>
      </c>
      <c r="B23" s="11"/>
      <c r="C23" s="11"/>
      <c r="D23" s="11"/>
      <c r="E23" s="11"/>
      <c r="F23" s="11"/>
      <c r="G23" s="11"/>
    </row>
    <row r="24" customFormat="false" ht="18" hidden="false" customHeight="true" outlineLevel="0" collapsed="false">
      <c r="A24" s="5"/>
      <c r="B24" s="5" t="s">
        <v>30</v>
      </c>
      <c r="C24" s="5" t="s">
        <v>31</v>
      </c>
      <c r="D24" s="5"/>
      <c r="E24" s="5"/>
      <c r="F24" s="5"/>
      <c r="G24" s="5"/>
    </row>
    <row r="25" customFormat="false" ht="36" hidden="false" customHeight="true" outlineLevel="0" collapsed="false">
      <c r="B25" s="12" t="s">
        <v>32</v>
      </c>
      <c r="C25" s="7" t="s">
        <v>33</v>
      </c>
      <c r="D25" s="7"/>
      <c r="E25" s="7"/>
      <c r="F25" s="7"/>
      <c r="G25" s="7"/>
    </row>
    <row r="26" customFormat="false" ht="36" hidden="false" customHeight="true" outlineLevel="0" collapsed="false">
      <c r="B26" s="12" t="s">
        <v>34</v>
      </c>
      <c r="C26" s="7" t="s">
        <v>35</v>
      </c>
      <c r="D26" s="7"/>
      <c r="E26" s="7"/>
      <c r="F26" s="7"/>
      <c r="G26" s="7"/>
    </row>
    <row r="27" customFormat="false" ht="36" hidden="false" customHeight="true" outlineLevel="0" collapsed="false">
      <c r="B27" s="12" t="s">
        <v>36</v>
      </c>
      <c r="C27" s="7" t="s">
        <v>37</v>
      </c>
      <c r="D27" s="7"/>
      <c r="E27" s="7"/>
      <c r="F27" s="7"/>
      <c r="G27" s="7"/>
    </row>
    <row r="28" customFormat="false" ht="36" hidden="false" customHeight="true" outlineLevel="0" collapsed="false">
      <c r="B28" s="12" t="s">
        <v>38</v>
      </c>
      <c r="C28" s="7" t="s">
        <v>39</v>
      </c>
      <c r="D28" s="7"/>
      <c r="E28" s="7"/>
      <c r="F28" s="7"/>
      <c r="G28" s="7"/>
    </row>
    <row r="29" customFormat="false" ht="36" hidden="false" customHeight="true" outlineLevel="0" collapsed="false">
      <c r="B29" s="12" t="s">
        <v>40</v>
      </c>
      <c r="C29" s="7" t="s">
        <v>41</v>
      </c>
      <c r="D29" s="7"/>
      <c r="E29" s="7"/>
      <c r="F29" s="7"/>
      <c r="G29" s="7"/>
    </row>
    <row r="30" customFormat="false" ht="36" hidden="false" customHeight="true" outlineLevel="0" collapsed="false">
      <c r="B30" s="12" t="s">
        <v>42</v>
      </c>
      <c r="C30" s="7" t="s">
        <v>43</v>
      </c>
      <c r="D30" s="7"/>
      <c r="E30" s="7"/>
      <c r="F30" s="7"/>
      <c r="G30" s="7"/>
    </row>
    <row r="31" customFormat="false" ht="36" hidden="false" customHeight="true" outlineLevel="0" collapsed="false">
      <c r="B31" s="12" t="s">
        <v>44</v>
      </c>
      <c r="C31" s="7" t="s">
        <v>45</v>
      </c>
      <c r="D31" s="7"/>
      <c r="E31" s="7"/>
      <c r="F31" s="7"/>
      <c r="G31" s="7"/>
    </row>
    <row r="32" customFormat="false" ht="36" hidden="false" customHeight="true" outlineLevel="0" collapsed="false">
      <c r="B32" s="12" t="s">
        <v>46</v>
      </c>
      <c r="C32" s="7" t="s">
        <v>47</v>
      </c>
      <c r="D32" s="7"/>
      <c r="E32" s="7"/>
      <c r="F32" s="7"/>
      <c r="G32" s="7"/>
    </row>
    <row r="33" customFormat="false" ht="36" hidden="false" customHeight="true" outlineLevel="0" collapsed="false">
      <c r="B33" s="12" t="s">
        <v>48</v>
      </c>
      <c r="C33" s="7" t="s">
        <v>49</v>
      </c>
      <c r="D33" s="7"/>
      <c r="E33" s="7"/>
      <c r="F33" s="7"/>
      <c r="G33" s="7"/>
    </row>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7">
    <mergeCell ref="A1:G1"/>
    <mergeCell ref="A2:G2"/>
    <mergeCell ref="A4:G4"/>
    <mergeCell ref="B5:G5"/>
    <mergeCell ref="B6:G6"/>
    <mergeCell ref="B7:G7"/>
    <mergeCell ref="A9:G9"/>
    <mergeCell ref="C11:G11"/>
    <mergeCell ref="C12:G12"/>
    <mergeCell ref="C13:G13"/>
    <mergeCell ref="C14:G14"/>
    <mergeCell ref="C15:G15"/>
    <mergeCell ref="C16:G16"/>
    <mergeCell ref="A18:G18"/>
    <mergeCell ref="C19:G19"/>
    <mergeCell ref="C20:G20"/>
    <mergeCell ref="C21:G21"/>
    <mergeCell ref="A23:G23"/>
    <mergeCell ref="C25:G25"/>
    <mergeCell ref="C26:G26"/>
    <mergeCell ref="C27:G27"/>
    <mergeCell ref="C28:G28"/>
    <mergeCell ref="C29:G29"/>
    <mergeCell ref="C30:G30"/>
    <mergeCell ref="C31:G31"/>
    <mergeCell ref="C32:G32"/>
    <mergeCell ref="C33:G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B1" activeCellId="0" sqref="B1"/>
      <selection pane="bottomLeft" activeCell="A7" activeCellId="0" sqref="A7"/>
      <selection pane="bottomRight" activeCell="B7" activeCellId="0" sqref="B7"/>
    </sheetView>
  </sheetViews>
  <sheetFormatPr defaultColWidth="14.43359375" defaultRowHeight="15" customHeight="tru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7" min="3" style="0" width="9"/>
    <col collapsed="false" customWidth="true" hidden="false" outlineLevel="0" max="8" min="8" style="0" width="10"/>
    <col collapsed="false" customWidth="true" hidden="false" outlineLevel="0" max="9" min="9" style="0" width="11"/>
    <col collapsed="false" customWidth="true" hidden="false" outlineLevel="0" max="10" min="10" style="0" width="13"/>
    <col collapsed="false" customWidth="true" hidden="false" outlineLevel="0" max="11" min="11" style="0" width="9"/>
    <col collapsed="false" customWidth="true" hidden="false" outlineLevel="0" max="13" min="12" style="0" width="12"/>
    <col collapsed="false" customWidth="true" hidden="false" outlineLevel="0" max="14" min="14" style="0" width="24"/>
    <col collapsed="false" customWidth="true" hidden="false" outlineLevel="0" max="27" min="15" style="0" width="8.71"/>
  </cols>
  <sheetData>
    <row r="1" customFormat="false" ht="30" hidden="false" customHeight="true" outlineLevel="0" collapsed="false">
      <c r="A1" s="1" t="s">
        <v>50</v>
      </c>
      <c r="B1" s="1"/>
      <c r="C1" s="1"/>
      <c r="D1" s="1"/>
      <c r="E1" s="1"/>
      <c r="F1" s="1"/>
      <c r="G1" s="1"/>
      <c r="H1" s="1"/>
      <c r="I1" s="1"/>
      <c r="J1" s="1"/>
      <c r="K1" s="1"/>
      <c r="L1" s="1"/>
      <c r="M1" s="1"/>
      <c r="N1" s="1"/>
    </row>
    <row r="2" customFormat="false" ht="19.5" hidden="false" customHeight="true" outlineLevel="0" collapsed="false">
      <c r="A2" s="2" t="s">
        <v>51</v>
      </c>
      <c r="B2" s="2"/>
      <c r="C2" s="2"/>
      <c r="D2" s="2"/>
      <c r="E2" s="2"/>
      <c r="F2" s="2"/>
      <c r="G2" s="2"/>
      <c r="H2" s="2"/>
      <c r="I2" s="2"/>
      <c r="J2" s="2"/>
      <c r="K2" s="2"/>
      <c r="L2" s="2"/>
      <c r="M2" s="2"/>
      <c r="N2" s="2"/>
    </row>
    <row r="3" customFormat="false" ht="18" hidden="false" customHeight="true" outlineLevel="0" collapsed="false">
      <c r="B3" s="13" t="s">
        <v>52</v>
      </c>
      <c r="C3" s="14"/>
      <c r="D3" s="13" t="s">
        <v>53</v>
      </c>
      <c r="E3" s="14"/>
      <c r="F3" s="13" t="s">
        <v>54</v>
      </c>
      <c r="G3" s="14"/>
      <c r="H3" s="13" t="s">
        <v>55</v>
      </c>
      <c r="I3" s="14"/>
      <c r="J3" s="13" t="s">
        <v>56</v>
      </c>
      <c r="K3" s="14"/>
      <c r="L3" s="13" t="s">
        <v>57</v>
      </c>
      <c r="M3" s="14"/>
      <c r="N3" s="15" t="s">
        <v>58</v>
      </c>
    </row>
    <row r="5" customFormat="false" ht="18" hidden="false" customHeight="true" outlineLevel="0" collapsed="false">
      <c r="B5" s="16" t="s">
        <v>59</v>
      </c>
      <c r="C5" s="17" t="n">
        <v>0.2</v>
      </c>
      <c r="D5" s="17" t="n">
        <v>0.1</v>
      </c>
      <c r="E5" s="17" t="n">
        <v>0.2</v>
      </c>
      <c r="F5" s="17" t="n">
        <v>0.3</v>
      </c>
      <c r="G5" s="17" t="n">
        <v>0.2</v>
      </c>
      <c r="H5" s="18" t="n">
        <f aca="false">SUM($C$5:$G$5)</f>
        <v>1</v>
      </c>
      <c r="I5" s="19" t="str">
        <f aca="false">IF(ABS($H$5-1)&lt;0.0001,"weights OK","FIX: must total 100%")</f>
        <v>weights OK</v>
      </c>
      <c r="J5" s="20" t="s">
        <v>60</v>
      </c>
      <c r="K5" s="20"/>
      <c r="L5" s="20"/>
      <c r="M5" s="20"/>
      <c r="N5" s="20"/>
    </row>
    <row r="6" customFormat="false" ht="42" hidden="false" customHeight="true" outlineLevel="0" collapsed="false">
      <c r="A6" s="5" t="s">
        <v>61</v>
      </c>
      <c r="B6" s="5" t="s">
        <v>62</v>
      </c>
      <c r="C6" s="5" t="s">
        <v>63</v>
      </c>
      <c r="D6" s="5" t="s">
        <v>64</v>
      </c>
      <c r="E6" s="5" t="s">
        <v>65</v>
      </c>
      <c r="F6" s="5" t="s">
        <v>66</v>
      </c>
      <c r="G6" s="5" t="s">
        <v>67</v>
      </c>
      <c r="H6" s="5" t="s">
        <v>68</v>
      </c>
      <c r="I6" s="5" t="s">
        <v>69</v>
      </c>
      <c r="J6" s="5" t="s">
        <v>70</v>
      </c>
      <c r="K6" s="5" t="s">
        <v>71</v>
      </c>
      <c r="L6" s="5" t="s">
        <v>72</v>
      </c>
      <c r="M6" s="5" t="s">
        <v>73</v>
      </c>
      <c r="N6" s="5" t="s">
        <v>74</v>
      </c>
    </row>
    <row r="7" customFormat="false" ht="21.75" hidden="false" customHeight="true" outlineLevel="0" collapsed="false">
      <c r="A7" s="21"/>
      <c r="B7" s="21" t="s">
        <v>75</v>
      </c>
      <c r="C7" s="22" t="n">
        <v>1</v>
      </c>
      <c r="D7" s="22" t="n">
        <v>3</v>
      </c>
      <c r="E7" s="22" t="n">
        <v>3</v>
      </c>
      <c r="F7" s="22" t="n">
        <v>3</v>
      </c>
      <c r="G7" s="22" t="n">
        <v>3</v>
      </c>
      <c r="H7" s="23" t="n">
        <f aca="false">IF($B7="",0,SUMPRODUCT($C7:$G7,$C$5:$G$5)*5)</f>
        <v>13</v>
      </c>
      <c r="I7" s="24" t="str">
        <f aca="false" t="array" ref="I7:I7">IF(OR($B7="",$H7&lt;5),"",INDEX('Tier Reference'!$B$6:$B$9,MATCH($H7,'Tier Reference'!$C$6:$C$9,1)))</f>
        <v>M - Medium</v>
      </c>
      <c r="J7" s="25" t="n">
        <f aca="false" t="array" ref="J7:J7">IF(OR($B7="",$H7&lt;5),0,INDEX('Tier Reference'!$E$6:$E$9,MATCH($H7,'Tier Reference'!$C$6:$C$9,1))+(MIN($H7,25)-INDEX('Tier Reference'!$C$6:$C$9,MATCH($H7,'Tier Reference'!$C$6:$C$9,1)))/(INDEX('Tier Reference'!$D$6:$D$9,MATCH($H7,'Tier Reference'!$C$6:$C$9,1))-INDEX('Tier Reference'!$C$6:$C$9,MATCH($H7,'Tier Reference'!$C$6:$C$9,1)))*(INDEX('Tier Reference'!$F$6:$F$9,MATCH($H7,'Tier Reference'!$C$6:$C$9,1))-INDEX('Tier Reference'!$E$6:$E$9,MATCH($H7,'Tier Reference'!$C$6:$C$9,1))))</f>
        <v>2125</v>
      </c>
      <c r="K7" s="26" t="n">
        <f aca="false">IF($B7="",0,'Tier Reference'!$C$14+MAX(0,$F7-1)*'Tier Reference'!$C$15+MAX(0,$G7-1)*'Tier Reference'!$C$16)</f>
        <v>0.35</v>
      </c>
      <c r="L7" s="27" t="n">
        <f aca="false">IF($B7="",0,$J7*(1-$K7))</f>
        <v>1381.25</v>
      </c>
      <c r="M7" s="27" t="n">
        <f aca="false">IF($B7="",0,$J7*(1+$K7))</f>
        <v>2868.75</v>
      </c>
      <c r="N7" s="28" t="str">
        <f aca="false">IF($B7="","",IF(COUNT($C7:$G7)&lt;5,"Incomplete - score all five",IF(AND($H7&gt;='Tier Reference'!$C$9,$D7=5),"SPLIT into sub-features",IF($H7&gt;='Tier Reference'!$C$9,"Deep estimate required",IF($K7&gt;=0.4,"Deep estimate recommended",IF($J7&gt;='Tier Reference'!$C$17,"Deep estimate recommended",""))))))</f>
        <v/>
      </c>
    </row>
    <row r="8" customFormat="false" ht="21.75" hidden="false" customHeight="true" outlineLevel="0" collapsed="false">
      <c r="A8" s="21"/>
      <c r="B8" s="21" t="s">
        <v>76</v>
      </c>
      <c r="C8" s="22" t="n">
        <v>4</v>
      </c>
      <c r="D8" s="22" t="n">
        <v>4</v>
      </c>
      <c r="E8" s="22" t="n">
        <v>4</v>
      </c>
      <c r="F8" s="22" t="n">
        <v>4</v>
      </c>
      <c r="G8" s="22" t="n">
        <v>4</v>
      </c>
      <c r="H8" s="29" t="n">
        <f aca="false">IF($B8="",0,SUMPRODUCT($C8:$G8,$C$5:$G$5)*5)</f>
        <v>20</v>
      </c>
      <c r="I8" s="30" t="str">
        <f aca="false" t="array" ref="I8:I8">IF(OR($B8="",$H8&lt;5),"",INDEX('Tier Reference'!$B$6:$B$9,MATCH($H8,'Tier Reference'!$C$6:$C$9,1)))</f>
        <v>L - Large</v>
      </c>
      <c r="J8" s="31" t="n">
        <f aca="false" t="array" ref="J8:J8">IF(OR($B8="",$H8&lt;5),0,INDEX('Tier Reference'!$E$6:$E$9,MATCH($H8,'Tier Reference'!$C$6:$C$9,1))+(MIN($H8,25)-INDEX('Tier Reference'!$C$6:$C$9,MATCH($H8,'Tier Reference'!$C$6:$C$9,1)))/(INDEX('Tier Reference'!$D$6:$D$9,MATCH($H8,'Tier Reference'!$C$6:$C$9,1))-INDEX('Tier Reference'!$C$6:$C$9,MATCH($H8,'Tier Reference'!$C$6:$C$9,1)))*(INDEX('Tier Reference'!$F$6:$F$9,MATCH($H8,'Tier Reference'!$C$6:$C$9,1))-INDEX('Tier Reference'!$E$6:$E$9,MATCH($H8,'Tier Reference'!$C$6:$C$9,1))))</f>
        <v>7000</v>
      </c>
      <c r="K8" s="32" t="n">
        <f aca="false">IF($B8="",0,'Tier Reference'!$C$14+MAX(0,$F8-1)*'Tier Reference'!$C$15+MAX(0,$G8-1)*'Tier Reference'!$C$16)</f>
        <v>0.45</v>
      </c>
      <c r="L8" s="33" t="n">
        <f aca="false">IF($B8="",0,$J8*(1-$K8))</f>
        <v>3850</v>
      </c>
      <c r="M8" s="33" t="n">
        <f aca="false">IF($B8="",0,$J8*(1+$K8))</f>
        <v>10150</v>
      </c>
      <c r="N8" s="34" t="str">
        <f aca="false">IF($B8="","",IF(COUNT($C8:$G8)&lt;5,"Incomplete - score all five",IF(AND($H8&gt;='Tier Reference'!$C$9,$D8=5),"SPLIT into sub-features",IF($H8&gt;='Tier Reference'!$C$9,"Deep estimate required",IF($K8&gt;=0.4,"Deep estimate recommended",IF($J8&gt;='Tier Reference'!$C$17,"Deep estimate recommended",""))))))</f>
        <v>Deep estimate recommended</v>
      </c>
    </row>
    <row r="9" customFormat="false" ht="21.75" hidden="false" customHeight="true" outlineLevel="0" collapsed="false">
      <c r="A9" s="21"/>
      <c r="B9" s="21" t="s">
        <v>77</v>
      </c>
      <c r="C9" s="22" t="n">
        <v>3</v>
      </c>
      <c r="D9" s="22" t="n">
        <v>3</v>
      </c>
      <c r="E9" s="22" t="n">
        <v>4</v>
      </c>
      <c r="F9" s="22" t="n">
        <v>2</v>
      </c>
      <c r="G9" s="22" t="n">
        <v>4</v>
      </c>
      <c r="H9" s="23" t="n">
        <f aca="false">IF($B9="",0,SUMPRODUCT($C9:$G9,$C$5:$G$5)*5)</f>
        <v>15.5</v>
      </c>
      <c r="I9" s="24" t="str">
        <f aca="false" t="array" ref="I9:I9">IF(OR($B9="",$H9&lt;5),"",INDEX('Tier Reference'!$B$6:$B$9,MATCH($H9,'Tier Reference'!$C$6:$C$9,1)))</f>
        <v>M - Medium</v>
      </c>
      <c r="J9" s="25" t="n">
        <f aca="false" t="array" ref="J9:J9">IF(OR($B9="",$H9&lt;5),0,INDEX('Tier Reference'!$E$6:$E$9,MATCH($H9,'Tier Reference'!$C$6:$C$9,1))+(MIN($H9,25)-INDEX('Tier Reference'!$C$6:$C$9,MATCH($H9,'Tier Reference'!$C$6:$C$9,1)))/(INDEX('Tier Reference'!$D$6:$D$9,MATCH($H9,'Tier Reference'!$C$6:$C$9,1))-INDEX('Tier Reference'!$C$6:$C$9,MATCH($H9,'Tier Reference'!$C$6:$C$9,1)))*(INDEX('Tier Reference'!$F$6:$F$9,MATCH($H9,'Tier Reference'!$C$6:$C$9,1))-INDEX('Tier Reference'!$E$6:$E$9,MATCH($H9,'Tier Reference'!$C$6:$C$9,1))))</f>
        <v>3166.66666666667</v>
      </c>
      <c r="K9" s="26" t="n">
        <f aca="false">IF($B9="",0,'Tier Reference'!$C$14+MAX(0,$F9-1)*'Tier Reference'!$C$15+MAX(0,$G9-1)*'Tier Reference'!$C$16)</f>
        <v>0.31</v>
      </c>
      <c r="L9" s="27" t="n">
        <f aca="false">IF($B9="",0,$J9*(1-$K9))</f>
        <v>2185</v>
      </c>
      <c r="M9" s="27" t="n">
        <f aca="false">IF($B9="",0,$J9*(1+$K9))</f>
        <v>4148.33333333333</v>
      </c>
      <c r="N9" s="28" t="str">
        <f aca="false">IF($B9="","",IF(COUNT($C9:$G9)&lt;5,"Incomplete - score all five",IF(AND($H9&gt;='Tier Reference'!$C$9,$D9=5),"SPLIT into sub-features",IF($H9&gt;='Tier Reference'!$C$9,"Deep estimate required",IF($K9&gt;=0.4,"Deep estimate recommended",IF($J9&gt;='Tier Reference'!$C$17,"Deep estimate recommended",""))))))</f>
        <v/>
      </c>
    </row>
    <row r="10" customFormat="false" ht="21.75" hidden="false" customHeight="true" outlineLevel="0" collapsed="false">
      <c r="A10" s="21"/>
      <c r="B10" s="21" t="s">
        <v>78</v>
      </c>
      <c r="C10" s="22" t="n">
        <v>2</v>
      </c>
      <c r="D10" s="22" t="n">
        <v>3</v>
      </c>
      <c r="E10" s="22" t="n">
        <v>2</v>
      </c>
      <c r="F10" s="22" t="n">
        <v>1</v>
      </c>
      <c r="G10" s="22" t="n">
        <v>1</v>
      </c>
      <c r="H10" s="29" t="n">
        <f aca="false">IF($B10="",0,SUMPRODUCT($C10:$G10,$C$5:$G$5)*5)</f>
        <v>8</v>
      </c>
      <c r="I10" s="30" t="str">
        <f aca="false" t="array" ref="I10:I10">IF(OR($B10="",$H10&lt;5),"",INDEX('Tier Reference'!$B$6:$B$9,MATCH($H10,'Tier Reference'!$C$6:$C$9,1)))</f>
        <v>S - Simple</v>
      </c>
      <c r="J10" s="31" t="n">
        <f aca="false" t="array" ref="J10:J10">IF(OR($B10="",$H10&lt;5),0,INDEX('Tier Reference'!$E$6:$E$9,MATCH($H10,'Tier Reference'!$C$6:$C$9,1))+(MIN($H10,25)-INDEX('Tier Reference'!$C$6:$C$9,MATCH($H10,'Tier Reference'!$C$6:$C$9,1)))/(INDEX('Tier Reference'!$D$6:$D$9,MATCH($H10,'Tier Reference'!$C$6:$C$9,1))-INDEX('Tier Reference'!$C$6:$C$9,MATCH($H10,'Tier Reference'!$C$6:$C$9,1)))*(INDEX('Tier Reference'!$F$6:$F$9,MATCH($H10,'Tier Reference'!$C$6:$C$9,1))-INDEX('Tier Reference'!$E$6:$E$9,MATCH($H10,'Tier Reference'!$C$6:$C$9,1))))</f>
        <v>961.538461538462</v>
      </c>
      <c r="K10" s="32" t="n">
        <f aca="false">IF($B10="",0,'Tier Reference'!$C$14+MAX(0,$F10-1)*'Tier Reference'!$C$15+MAX(0,$G10-1)*'Tier Reference'!$C$16)</f>
        <v>0.15</v>
      </c>
      <c r="L10" s="33" t="n">
        <f aca="false">IF($B10="",0,$J10*(1-$K10))</f>
        <v>817.307692307692</v>
      </c>
      <c r="M10" s="33" t="n">
        <f aca="false">IF($B10="",0,$J10*(1+$K10))</f>
        <v>1105.76923076923</v>
      </c>
      <c r="N10" s="34" t="str">
        <f aca="false">IF($B10="","",IF(COUNT($C10:$G10)&lt;5,"Incomplete - score all five",IF(AND($H10&gt;='Tier Reference'!$C$9,$D10=5),"SPLIT into sub-features",IF($H10&gt;='Tier Reference'!$C$9,"Deep estimate required",IF($K10&gt;=0.4,"Deep estimate recommended",IF($J10&gt;='Tier Reference'!$C$17,"Deep estimate recommended",""))))))</f>
        <v/>
      </c>
    </row>
    <row r="11" customFormat="false" ht="21.75" hidden="false" customHeight="true" outlineLevel="0" collapsed="false">
      <c r="A11" s="21"/>
      <c r="B11" s="21" t="s">
        <v>79</v>
      </c>
      <c r="C11" s="22" t="n">
        <v>4</v>
      </c>
      <c r="D11" s="22" t="n">
        <v>3</v>
      </c>
      <c r="E11" s="22" t="n">
        <v>3</v>
      </c>
      <c r="F11" s="22" t="n">
        <v>3</v>
      </c>
      <c r="G11" s="22" t="n">
        <v>2</v>
      </c>
      <c r="H11" s="23" t="n">
        <f aca="false">IF($B11="",0,SUMPRODUCT($C11:$G11,$C$5:$G$5)*5)</f>
        <v>15</v>
      </c>
      <c r="I11" s="24" t="str">
        <f aca="false" t="array" ref="I11:I11">IF(OR($B11="",$H11&lt;5),"",INDEX('Tier Reference'!$B$6:$B$9,MATCH($H11,'Tier Reference'!$C$6:$C$9,1)))</f>
        <v>M - Medium</v>
      </c>
      <c r="J11" s="25" t="n">
        <f aca="false" t="array" ref="J11:J11">IF(OR($B11="",$H11&lt;5),0,INDEX('Tier Reference'!$E$6:$E$9,MATCH($H11,'Tier Reference'!$C$6:$C$9,1))+(MIN($H11,25)-INDEX('Tier Reference'!$C$6:$C$9,MATCH($H11,'Tier Reference'!$C$6:$C$9,1)))/(INDEX('Tier Reference'!$D$6:$D$9,MATCH($H11,'Tier Reference'!$C$6:$C$9,1))-INDEX('Tier Reference'!$C$6:$C$9,MATCH($H11,'Tier Reference'!$C$6:$C$9,1)))*(INDEX('Tier Reference'!$F$6:$F$9,MATCH($H11,'Tier Reference'!$C$6:$C$9,1))-INDEX('Tier Reference'!$E$6:$E$9,MATCH($H11,'Tier Reference'!$C$6:$C$9,1))))</f>
        <v>2958.33333333333</v>
      </c>
      <c r="K11" s="26" t="n">
        <f aca="false">IF($B11="",0,'Tier Reference'!$C$14+MAX(0,$F11-1)*'Tier Reference'!$C$15+MAX(0,$G11-1)*'Tier Reference'!$C$16)</f>
        <v>0.32</v>
      </c>
      <c r="L11" s="27" t="n">
        <f aca="false">IF($B11="",0,$J11*(1-$K11))</f>
        <v>2011.66666666667</v>
      </c>
      <c r="M11" s="27" t="n">
        <f aca="false">IF($B11="",0,$J11*(1+$K11))</f>
        <v>3905</v>
      </c>
      <c r="N11" s="28" t="str">
        <f aca="false">IF($B11="","",IF(COUNT($C11:$G11)&lt;5,"Incomplete - score all five",IF(AND($H11&gt;='Tier Reference'!$C$9,$D11=5),"SPLIT into sub-features",IF($H11&gt;='Tier Reference'!$C$9,"Deep estimate required",IF($K11&gt;=0.4,"Deep estimate recommended",IF($J11&gt;='Tier Reference'!$C$17,"Deep estimate recommended",""))))))</f>
        <v/>
      </c>
    </row>
    <row r="12" customFormat="false" ht="21.75" hidden="false" customHeight="true" outlineLevel="0" collapsed="false">
      <c r="A12" s="21"/>
      <c r="B12" s="21"/>
      <c r="C12" s="22"/>
      <c r="D12" s="22"/>
      <c r="E12" s="22"/>
      <c r="F12" s="22"/>
      <c r="G12" s="22"/>
      <c r="H12" s="29" t="n">
        <f aca="false">IF($B12="",0,SUMPRODUCT($C12:$G12,$C$5:$G$5)*5)</f>
        <v>0</v>
      </c>
      <c r="I12" s="30" t="str">
        <f aca="false" t="array" ref="I12:I12">IF(OR($B12="",$H12&lt;5),"",INDEX('Tier Reference'!$B$6:$B$9,MATCH($H12,'Tier Reference'!$C$6:$C$9,1)))</f>
        <v/>
      </c>
      <c r="J12" s="31" t="n">
        <f aca="false" t="array" ref="J12:J12">IF(OR($B12="",$H12&lt;5),0,INDEX('Tier Reference'!$E$6:$E$9,MATCH($H12,'Tier Reference'!$C$6:$C$9,1))+(MIN($H12,25)-INDEX('Tier Reference'!$C$6:$C$9,MATCH($H12,'Tier Reference'!$C$6:$C$9,1)))/(INDEX('Tier Reference'!$D$6:$D$9,MATCH($H12,'Tier Reference'!$C$6:$C$9,1))-INDEX('Tier Reference'!$C$6:$C$9,MATCH($H12,'Tier Reference'!$C$6:$C$9,1)))*(INDEX('Tier Reference'!$F$6:$F$9,MATCH($H12,'Tier Reference'!$C$6:$C$9,1))-INDEX('Tier Reference'!$E$6:$E$9,MATCH($H12,'Tier Reference'!$C$6:$C$9,1))))</f>
        <v>0</v>
      </c>
      <c r="K12" s="32" t="n">
        <f aca="false">IF($B12="",0,'Tier Reference'!$C$14+MAX(0,$F12-1)*'Tier Reference'!$C$15+MAX(0,$G12-1)*'Tier Reference'!$C$16)</f>
        <v>0</v>
      </c>
      <c r="L12" s="33" t="n">
        <f aca="false">IF($B12="",0,$J12*(1-$K12))</f>
        <v>0</v>
      </c>
      <c r="M12" s="33" t="n">
        <f aca="false">IF($B12="",0,$J12*(1+$K12))</f>
        <v>0</v>
      </c>
      <c r="N12" s="34" t="str">
        <f aca="false">IF($B12="","",IF(COUNT($C12:$G12)&lt;5,"Incomplete - score all five",IF(AND($H12&gt;='Tier Reference'!$C$9,$D12=5),"SPLIT into sub-features",IF($H12&gt;='Tier Reference'!$C$9,"Deep estimate required",IF($K12&gt;=0.4,"Deep estimate recommended",IF($J12&gt;='Tier Reference'!$C$17,"Deep estimate recommended",""))))))</f>
        <v/>
      </c>
    </row>
    <row r="13" customFormat="false" ht="21.75" hidden="false" customHeight="true" outlineLevel="0" collapsed="false">
      <c r="A13" s="21"/>
      <c r="B13" s="21"/>
      <c r="C13" s="22"/>
      <c r="D13" s="22"/>
      <c r="E13" s="22"/>
      <c r="F13" s="22"/>
      <c r="G13" s="22"/>
      <c r="H13" s="23" t="n">
        <f aca="false">IF($B13="",0,SUMPRODUCT($C13:$G13,$C$5:$G$5)*5)</f>
        <v>0</v>
      </c>
      <c r="I13" s="24" t="str">
        <f aca="false" t="array" ref="I13:I13">IF(OR($B13="",$H13&lt;5),"",INDEX('Tier Reference'!$B$6:$B$9,MATCH($H13,'Tier Reference'!$C$6:$C$9,1)))</f>
        <v/>
      </c>
      <c r="J13" s="25" t="n">
        <f aca="false" t="array" ref="J13:J13">IF(OR($B13="",$H13&lt;5),0,INDEX('Tier Reference'!$E$6:$E$9,MATCH($H13,'Tier Reference'!$C$6:$C$9,1))+(MIN($H13,25)-INDEX('Tier Reference'!$C$6:$C$9,MATCH($H13,'Tier Reference'!$C$6:$C$9,1)))/(INDEX('Tier Reference'!$D$6:$D$9,MATCH($H13,'Tier Reference'!$C$6:$C$9,1))-INDEX('Tier Reference'!$C$6:$C$9,MATCH($H13,'Tier Reference'!$C$6:$C$9,1)))*(INDEX('Tier Reference'!$F$6:$F$9,MATCH($H13,'Tier Reference'!$C$6:$C$9,1))-INDEX('Tier Reference'!$E$6:$E$9,MATCH($H13,'Tier Reference'!$C$6:$C$9,1))))</f>
        <v>0</v>
      </c>
      <c r="K13" s="26" t="n">
        <f aca="false">IF($B13="",0,'Tier Reference'!$C$14+MAX(0,$F13-1)*'Tier Reference'!$C$15+MAX(0,$G13-1)*'Tier Reference'!$C$16)</f>
        <v>0</v>
      </c>
      <c r="L13" s="27" t="n">
        <f aca="false">IF($B13="",0,$J13*(1-$K13))</f>
        <v>0</v>
      </c>
      <c r="M13" s="27" t="n">
        <f aca="false">IF($B13="",0,$J13*(1+$K13))</f>
        <v>0</v>
      </c>
      <c r="N13" s="28" t="str">
        <f aca="false">IF($B13="","",IF(COUNT($C13:$G13)&lt;5,"Incomplete - score all five",IF(AND($H13&gt;='Tier Reference'!$C$9,$D13=5),"SPLIT into sub-features",IF($H13&gt;='Tier Reference'!$C$9,"Deep estimate required",IF($K13&gt;=0.4,"Deep estimate recommended",IF($J13&gt;='Tier Reference'!$C$17,"Deep estimate recommended",""))))))</f>
        <v/>
      </c>
    </row>
    <row r="14" customFormat="false" ht="21.75" hidden="false" customHeight="true" outlineLevel="0" collapsed="false">
      <c r="A14" s="21"/>
      <c r="B14" s="21"/>
      <c r="C14" s="22"/>
      <c r="D14" s="22"/>
      <c r="E14" s="22"/>
      <c r="F14" s="22"/>
      <c r="G14" s="22"/>
      <c r="H14" s="29" t="n">
        <f aca="false">IF($B14="",0,SUMPRODUCT($C14:$G14,$C$5:$G$5)*5)</f>
        <v>0</v>
      </c>
      <c r="I14" s="30" t="str">
        <f aca="false" t="array" ref="I14:I14">IF(OR($B14="",$H14&lt;5),"",INDEX('Tier Reference'!$B$6:$B$9,MATCH($H14,'Tier Reference'!$C$6:$C$9,1)))</f>
        <v/>
      </c>
      <c r="J14" s="31" t="n">
        <f aca="false" t="array" ref="J14:J14">IF(OR($B14="",$H14&lt;5),0,INDEX('Tier Reference'!$E$6:$E$9,MATCH($H14,'Tier Reference'!$C$6:$C$9,1))+(MIN($H14,25)-INDEX('Tier Reference'!$C$6:$C$9,MATCH($H14,'Tier Reference'!$C$6:$C$9,1)))/(INDEX('Tier Reference'!$D$6:$D$9,MATCH($H14,'Tier Reference'!$C$6:$C$9,1))-INDEX('Tier Reference'!$C$6:$C$9,MATCH($H14,'Tier Reference'!$C$6:$C$9,1)))*(INDEX('Tier Reference'!$F$6:$F$9,MATCH($H14,'Tier Reference'!$C$6:$C$9,1))-INDEX('Tier Reference'!$E$6:$E$9,MATCH($H14,'Tier Reference'!$C$6:$C$9,1))))</f>
        <v>0</v>
      </c>
      <c r="K14" s="32" t="n">
        <f aca="false">IF($B14="",0,'Tier Reference'!$C$14+MAX(0,$F14-1)*'Tier Reference'!$C$15+MAX(0,$G14-1)*'Tier Reference'!$C$16)</f>
        <v>0</v>
      </c>
      <c r="L14" s="33" t="n">
        <f aca="false">IF($B14="",0,$J14*(1-$K14))</f>
        <v>0</v>
      </c>
      <c r="M14" s="33" t="n">
        <f aca="false">IF($B14="",0,$J14*(1+$K14))</f>
        <v>0</v>
      </c>
      <c r="N14" s="34" t="str">
        <f aca="false">IF($B14="","",IF(COUNT($C14:$G14)&lt;5,"Incomplete - score all five",IF(AND($H14&gt;='Tier Reference'!$C$9,$D14=5),"SPLIT into sub-features",IF($H14&gt;='Tier Reference'!$C$9,"Deep estimate required",IF($K14&gt;=0.4,"Deep estimate recommended",IF($J14&gt;='Tier Reference'!$C$17,"Deep estimate recommended",""))))))</f>
        <v/>
      </c>
    </row>
    <row r="15" customFormat="false" ht="21.75" hidden="false" customHeight="true" outlineLevel="0" collapsed="false">
      <c r="A15" s="21"/>
      <c r="B15" s="21"/>
      <c r="C15" s="22"/>
      <c r="D15" s="22"/>
      <c r="E15" s="22"/>
      <c r="F15" s="22"/>
      <c r="G15" s="22"/>
      <c r="H15" s="23" t="n">
        <f aca="false">IF($B15="",0,SUMPRODUCT($C15:$G15,$C$5:$G$5)*5)</f>
        <v>0</v>
      </c>
      <c r="I15" s="24" t="str">
        <f aca="false" t="array" ref="I15:I15">IF(OR($B15="",$H15&lt;5),"",INDEX('Tier Reference'!$B$6:$B$9,MATCH($H15,'Tier Reference'!$C$6:$C$9,1)))</f>
        <v/>
      </c>
      <c r="J15" s="25" t="n">
        <f aca="false" t="array" ref="J15:J15">IF(OR($B15="",$H15&lt;5),0,INDEX('Tier Reference'!$E$6:$E$9,MATCH($H15,'Tier Reference'!$C$6:$C$9,1))+(MIN($H15,25)-INDEX('Tier Reference'!$C$6:$C$9,MATCH($H15,'Tier Reference'!$C$6:$C$9,1)))/(INDEX('Tier Reference'!$D$6:$D$9,MATCH($H15,'Tier Reference'!$C$6:$C$9,1))-INDEX('Tier Reference'!$C$6:$C$9,MATCH($H15,'Tier Reference'!$C$6:$C$9,1)))*(INDEX('Tier Reference'!$F$6:$F$9,MATCH($H15,'Tier Reference'!$C$6:$C$9,1))-INDEX('Tier Reference'!$E$6:$E$9,MATCH($H15,'Tier Reference'!$C$6:$C$9,1))))</f>
        <v>0</v>
      </c>
      <c r="K15" s="26" t="n">
        <f aca="false">IF($B15="",0,'Tier Reference'!$C$14+MAX(0,$F15-1)*'Tier Reference'!$C$15+MAX(0,$G15-1)*'Tier Reference'!$C$16)</f>
        <v>0</v>
      </c>
      <c r="L15" s="27" t="n">
        <f aca="false">IF($B15="",0,$J15*(1-$K15))</f>
        <v>0</v>
      </c>
      <c r="M15" s="27" t="n">
        <f aca="false">IF($B15="",0,$J15*(1+$K15))</f>
        <v>0</v>
      </c>
      <c r="N15" s="28" t="str">
        <f aca="false">IF($B15="","",IF(COUNT($C15:$G15)&lt;5,"Incomplete - score all five",IF(AND($H15&gt;='Tier Reference'!$C$9,$D15=5),"SPLIT into sub-features",IF($H15&gt;='Tier Reference'!$C$9,"Deep estimate required",IF($K15&gt;=0.4,"Deep estimate recommended",IF($J15&gt;='Tier Reference'!$C$17,"Deep estimate recommended",""))))))</f>
        <v/>
      </c>
    </row>
    <row r="16" customFormat="false" ht="21.75" hidden="false" customHeight="true" outlineLevel="0" collapsed="false">
      <c r="A16" s="21"/>
      <c r="B16" s="21"/>
      <c r="C16" s="22"/>
      <c r="D16" s="22"/>
      <c r="E16" s="22"/>
      <c r="F16" s="22"/>
      <c r="G16" s="22"/>
      <c r="H16" s="29" t="n">
        <f aca="false">IF($B16="",0,SUMPRODUCT($C16:$G16,$C$5:$G$5)*5)</f>
        <v>0</v>
      </c>
      <c r="I16" s="30" t="str">
        <f aca="false" t="array" ref="I16:I16">IF(OR($B16="",$H16&lt;5),"",INDEX('Tier Reference'!$B$6:$B$9,MATCH($H16,'Tier Reference'!$C$6:$C$9,1)))</f>
        <v/>
      </c>
      <c r="J16" s="31" t="n">
        <f aca="false" t="array" ref="J16:J16">IF(OR($B16="",$H16&lt;5),0,INDEX('Tier Reference'!$E$6:$E$9,MATCH($H16,'Tier Reference'!$C$6:$C$9,1))+(MIN($H16,25)-INDEX('Tier Reference'!$C$6:$C$9,MATCH($H16,'Tier Reference'!$C$6:$C$9,1)))/(INDEX('Tier Reference'!$D$6:$D$9,MATCH($H16,'Tier Reference'!$C$6:$C$9,1))-INDEX('Tier Reference'!$C$6:$C$9,MATCH($H16,'Tier Reference'!$C$6:$C$9,1)))*(INDEX('Tier Reference'!$F$6:$F$9,MATCH($H16,'Tier Reference'!$C$6:$C$9,1))-INDEX('Tier Reference'!$E$6:$E$9,MATCH($H16,'Tier Reference'!$C$6:$C$9,1))))</f>
        <v>0</v>
      </c>
      <c r="K16" s="32" t="n">
        <f aca="false">IF($B16="",0,'Tier Reference'!$C$14+MAX(0,$F16-1)*'Tier Reference'!$C$15+MAX(0,$G16-1)*'Tier Reference'!$C$16)</f>
        <v>0</v>
      </c>
      <c r="L16" s="33" t="n">
        <f aca="false">IF($B16="",0,$J16*(1-$K16))</f>
        <v>0</v>
      </c>
      <c r="M16" s="33" t="n">
        <f aca="false">IF($B16="",0,$J16*(1+$K16))</f>
        <v>0</v>
      </c>
      <c r="N16" s="34" t="str">
        <f aca="false">IF($B16="","",IF(COUNT($C16:$G16)&lt;5,"Incomplete - score all five",IF(AND($H16&gt;='Tier Reference'!$C$9,$D16=5),"SPLIT into sub-features",IF($H16&gt;='Tier Reference'!$C$9,"Deep estimate required",IF($K16&gt;=0.4,"Deep estimate recommended",IF($J16&gt;='Tier Reference'!$C$17,"Deep estimate recommended",""))))))</f>
        <v/>
      </c>
    </row>
    <row r="17" customFormat="false" ht="21.75" hidden="false" customHeight="true" outlineLevel="0" collapsed="false">
      <c r="A17" s="21"/>
      <c r="B17" s="21"/>
      <c r="C17" s="22"/>
      <c r="D17" s="22"/>
      <c r="E17" s="22"/>
      <c r="F17" s="22"/>
      <c r="G17" s="22"/>
      <c r="H17" s="23" t="n">
        <f aca="false">IF($B17="",0,SUMPRODUCT($C17:$G17,$C$5:$G$5)*5)</f>
        <v>0</v>
      </c>
      <c r="I17" s="24" t="str">
        <f aca="false" t="array" ref="I17:I17">IF(OR($B17="",$H17&lt;5),"",INDEX('Tier Reference'!$B$6:$B$9,MATCH($H17,'Tier Reference'!$C$6:$C$9,1)))</f>
        <v/>
      </c>
      <c r="J17" s="25" t="n">
        <f aca="false" t="array" ref="J17:J17">IF(OR($B17="",$H17&lt;5),0,INDEX('Tier Reference'!$E$6:$E$9,MATCH($H17,'Tier Reference'!$C$6:$C$9,1))+(MIN($H17,25)-INDEX('Tier Reference'!$C$6:$C$9,MATCH($H17,'Tier Reference'!$C$6:$C$9,1)))/(INDEX('Tier Reference'!$D$6:$D$9,MATCH($H17,'Tier Reference'!$C$6:$C$9,1))-INDEX('Tier Reference'!$C$6:$C$9,MATCH($H17,'Tier Reference'!$C$6:$C$9,1)))*(INDEX('Tier Reference'!$F$6:$F$9,MATCH($H17,'Tier Reference'!$C$6:$C$9,1))-INDEX('Tier Reference'!$E$6:$E$9,MATCH($H17,'Tier Reference'!$C$6:$C$9,1))))</f>
        <v>0</v>
      </c>
      <c r="K17" s="26" t="n">
        <f aca="false">IF($B17="",0,'Tier Reference'!$C$14+MAX(0,$F17-1)*'Tier Reference'!$C$15+MAX(0,$G17-1)*'Tier Reference'!$C$16)</f>
        <v>0</v>
      </c>
      <c r="L17" s="27" t="n">
        <f aca="false">IF($B17="",0,$J17*(1-$K17))</f>
        <v>0</v>
      </c>
      <c r="M17" s="27" t="n">
        <f aca="false">IF($B17="",0,$J17*(1+$K17))</f>
        <v>0</v>
      </c>
      <c r="N17" s="28" t="str">
        <f aca="false">IF($B17="","",IF(COUNT($C17:$G17)&lt;5,"Incomplete - score all five",IF(AND($H17&gt;='Tier Reference'!$C$9,$D17=5),"SPLIT into sub-features",IF($H17&gt;='Tier Reference'!$C$9,"Deep estimate required",IF($K17&gt;=0.4,"Deep estimate recommended",IF($J17&gt;='Tier Reference'!$C$17,"Deep estimate recommended",""))))))</f>
        <v/>
      </c>
    </row>
    <row r="18" customFormat="false" ht="21.75" hidden="false" customHeight="true" outlineLevel="0" collapsed="false">
      <c r="A18" s="21"/>
      <c r="B18" s="21"/>
      <c r="C18" s="22"/>
      <c r="D18" s="22"/>
      <c r="E18" s="22"/>
      <c r="F18" s="22"/>
      <c r="G18" s="22"/>
      <c r="H18" s="29" t="n">
        <f aca="false">IF($B18="",0,SUMPRODUCT($C18:$G18,$C$5:$G$5)*5)</f>
        <v>0</v>
      </c>
      <c r="I18" s="30" t="str">
        <f aca="false" t="array" ref="I18:I18">IF(OR($B18="",$H18&lt;5),"",INDEX('Tier Reference'!$B$6:$B$9,MATCH($H18,'Tier Reference'!$C$6:$C$9,1)))</f>
        <v/>
      </c>
      <c r="J18" s="31" t="n">
        <f aca="false" t="array" ref="J18:J18">IF(OR($B18="",$H18&lt;5),0,INDEX('Tier Reference'!$E$6:$E$9,MATCH($H18,'Tier Reference'!$C$6:$C$9,1))+(MIN($H18,25)-INDEX('Tier Reference'!$C$6:$C$9,MATCH($H18,'Tier Reference'!$C$6:$C$9,1)))/(INDEX('Tier Reference'!$D$6:$D$9,MATCH($H18,'Tier Reference'!$C$6:$C$9,1))-INDEX('Tier Reference'!$C$6:$C$9,MATCH($H18,'Tier Reference'!$C$6:$C$9,1)))*(INDEX('Tier Reference'!$F$6:$F$9,MATCH($H18,'Tier Reference'!$C$6:$C$9,1))-INDEX('Tier Reference'!$E$6:$E$9,MATCH($H18,'Tier Reference'!$C$6:$C$9,1))))</f>
        <v>0</v>
      </c>
      <c r="K18" s="32" t="n">
        <f aca="false">IF($B18="",0,'Tier Reference'!$C$14+MAX(0,$F18-1)*'Tier Reference'!$C$15+MAX(0,$G18-1)*'Tier Reference'!$C$16)</f>
        <v>0</v>
      </c>
      <c r="L18" s="33" t="n">
        <f aca="false">IF($B18="",0,$J18*(1-$K18))</f>
        <v>0</v>
      </c>
      <c r="M18" s="33" t="n">
        <f aca="false">IF($B18="",0,$J18*(1+$K18))</f>
        <v>0</v>
      </c>
      <c r="N18" s="34" t="str">
        <f aca="false">IF($B18="","",IF(COUNT($C18:$G18)&lt;5,"Incomplete - score all five",IF(AND($H18&gt;='Tier Reference'!$C$9,$D18=5),"SPLIT into sub-features",IF($H18&gt;='Tier Reference'!$C$9,"Deep estimate required",IF($K18&gt;=0.4,"Deep estimate recommended",IF($J18&gt;='Tier Reference'!$C$17,"Deep estimate recommended",""))))))</f>
        <v/>
      </c>
    </row>
    <row r="19" customFormat="false" ht="21.75" hidden="false" customHeight="true" outlineLevel="0" collapsed="false">
      <c r="A19" s="21"/>
      <c r="B19" s="21"/>
      <c r="C19" s="22"/>
      <c r="D19" s="22"/>
      <c r="E19" s="22"/>
      <c r="F19" s="22"/>
      <c r="G19" s="22"/>
      <c r="H19" s="23" t="n">
        <f aca="false">IF($B19="",0,SUMPRODUCT($C19:$G19,$C$5:$G$5)*5)</f>
        <v>0</v>
      </c>
      <c r="I19" s="24" t="str">
        <f aca="false" t="array" ref="I19:I19">IF(OR($B19="",$H19&lt;5),"",INDEX('Tier Reference'!$B$6:$B$9,MATCH($H19,'Tier Reference'!$C$6:$C$9,1)))</f>
        <v/>
      </c>
      <c r="J19" s="25" t="n">
        <f aca="false" t="array" ref="J19:J19">IF(OR($B19="",$H19&lt;5),0,INDEX('Tier Reference'!$E$6:$E$9,MATCH($H19,'Tier Reference'!$C$6:$C$9,1))+(MIN($H19,25)-INDEX('Tier Reference'!$C$6:$C$9,MATCH($H19,'Tier Reference'!$C$6:$C$9,1)))/(INDEX('Tier Reference'!$D$6:$D$9,MATCH($H19,'Tier Reference'!$C$6:$C$9,1))-INDEX('Tier Reference'!$C$6:$C$9,MATCH($H19,'Tier Reference'!$C$6:$C$9,1)))*(INDEX('Tier Reference'!$F$6:$F$9,MATCH($H19,'Tier Reference'!$C$6:$C$9,1))-INDEX('Tier Reference'!$E$6:$E$9,MATCH($H19,'Tier Reference'!$C$6:$C$9,1))))</f>
        <v>0</v>
      </c>
      <c r="K19" s="26" t="n">
        <f aca="false">IF($B19="",0,'Tier Reference'!$C$14+MAX(0,$F19-1)*'Tier Reference'!$C$15+MAX(0,$G19-1)*'Tier Reference'!$C$16)</f>
        <v>0</v>
      </c>
      <c r="L19" s="27" t="n">
        <f aca="false">IF($B19="",0,$J19*(1-$K19))</f>
        <v>0</v>
      </c>
      <c r="M19" s="27" t="n">
        <f aca="false">IF($B19="",0,$J19*(1+$K19))</f>
        <v>0</v>
      </c>
      <c r="N19" s="28" t="str">
        <f aca="false">IF($B19="","",IF(COUNT($C19:$G19)&lt;5,"Incomplete - score all five",IF(AND($H19&gt;='Tier Reference'!$C$9,$D19=5),"SPLIT into sub-features",IF($H19&gt;='Tier Reference'!$C$9,"Deep estimate required",IF($K19&gt;=0.4,"Deep estimate recommended",IF($J19&gt;='Tier Reference'!$C$17,"Deep estimate recommended",""))))))</f>
        <v/>
      </c>
    </row>
    <row r="20" customFormat="false" ht="21.75" hidden="false" customHeight="true" outlineLevel="0" collapsed="false">
      <c r="A20" s="21"/>
      <c r="B20" s="21"/>
      <c r="C20" s="22"/>
      <c r="D20" s="22"/>
      <c r="E20" s="22"/>
      <c r="F20" s="22"/>
      <c r="G20" s="22"/>
      <c r="H20" s="29" t="n">
        <f aca="false">IF($B20="",0,SUMPRODUCT($C20:$G20,$C$5:$G$5)*5)</f>
        <v>0</v>
      </c>
      <c r="I20" s="30" t="str">
        <f aca="false" t="array" ref="I20:I20">IF(OR($B20="",$H20&lt;5),"",INDEX('Tier Reference'!$B$6:$B$9,MATCH($H20,'Tier Reference'!$C$6:$C$9,1)))</f>
        <v/>
      </c>
      <c r="J20" s="31" t="n">
        <f aca="false" t="array" ref="J20:J20">IF(OR($B20="",$H20&lt;5),0,INDEX('Tier Reference'!$E$6:$E$9,MATCH($H20,'Tier Reference'!$C$6:$C$9,1))+(MIN($H20,25)-INDEX('Tier Reference'!$C$6:$C$9,MATCH($H20,'Tier Reference'!$C$6:$C$9,1)))/(INDEX('Tier Reference'!$D$6:$D$9,MATCH($H20,'Tier Reference'!$C$6:$C$9,1))-INDEX('Tier Reference'!$C$6:$C$9,MATCH($H20,'Tier Reference'!$C$6:$C$9,1)))*(INDEX('Tier Reference'!$F$6:$F$9,MATCH($H20,'Tier Reference'!$C$6:$C$9,1))-INDEX('Tier Reference'!$E$6:$E$9,MATCH($H20,'Tier Reference'!$C$6:$C$9,1))))</f>
        <v>0</v>
      </c>
      <c r="K20" s="32" t="n">
        <f aca="false">IF($B20="",0,'Tier Reference'!$C$14+MAX(0,$F20-1)*'Tier Reference'!$C$15+MAX(0,$G20-1)*'Tier Reference'!$C$16)</f>
        <v>0</v>
      </c>
      <c r="L20" s="33" t="n">
        <f aca="false">IF($B20="",0,$J20*(1-$K20))</f>
        <v>0</v>
      </c>
      <c r="M20" s="33" t="n">
        <f aca="false">IF($B20="",0,$J20*(1+$K20))</f>
        <v>0</v>
      </c>
      <c r="N20" s="34" t="str">
        <f aca="false">IF($B20="","",IF(COUNT($C20:$G20)&lt;5,"Incomplete - score all five",IF(AND($H20&gt;='Tier Reference'!$C$9,$D20=5),"SPLIT into sub-features",IF($H20&gt;='Tier Reference'!$C$9,"Deep estimate required",IF($K20&gt;=0.4,"Deep estimate recommended",IF($J20&gt;='Tier Reference'!$C$17,"Deep estimate recommended",""))))))</f>
        <v/>
      </c>
    </row>
    <row r="21" customFormat="false" ht="21.75" hidden="false" customHeight="true" outlineLevel="0" collapsed="false">
      <c r="A21" s="21"/>
      <c r="B21" s="21"/>
      <c r="C21" s="22"/>
      <c r="D21" s="22"/>
      <c r="E21" s="22"/>
      <c r="F21" s="22"/>
      <c r="G21" s="22"/>
      <c r="H21" s="23" t="n">
        <f aca="false">IF($B21="",0,SUMPRODUCT($C21:$G21,$C$5:$G$5)*5)</f>
        <v>0</v>
      </c>
      <c r="I21" s="24" t="str">
        <f aca="false" t="array" ref="I21:I21">IF(OR($B21="",$H21&lt;5),"",INDEX('Tier Reference'!$B$6:$B$9,MATCH($H21,'Tier Reference'!$C$6:$C$9,1)))</f>
        <v/>
      </c>
      <c r="J21" s="25" t="n">
        <f aca="false" t="array" ref="J21:J21">IF(OR($B21="",$H21&lt;5),0,INDEX('Tier Reference'!$E$6:$E$9,MATCH($H21,'Tier Reference'!$C$6:$C$9,1))+(MIN($H21,25)-INDEX('Tier Reference'!$C$6:$C$9,MATCH($H21,'Tier Reference'!$C$6:$C$9,1)))/(INDEX('Tier Reference'!$D$6:$D$9,MATCH($H21,'Tier Reference'!$C$6:$C$9,1))-INDEX('Tier Reference'!$C$6:$C$9,MATCH($H21,'Tier Reference'!$C$6:$C$9,1)))*(INDEX('Tier Reference'!$F$6:$F$9,MATCH($H21,'Tier Reference'!$C$6:$C$9,1))-INDEX('Tier Reference'!$E$6:$E$9,MATCH($H21,'Tier Reference'!$C$6:$C$9,1))))</f>
        <v>0</v>
      </c>
      <c r="K21" s="26" t="n">
        <f aca="false">IF($B21="",0,'Tier Reference'!$C$14+MAX(0,$F21-1)*'Tier Reference'!$C$15+MAX(0,$G21-1)*'Tier Reference'!$C$16)</f>
        <v>0</v>
      </c>
      <c r="L21" s="27" t="n">
        <f aca="false">IF($B21="",0,$J21*(1-$K21))</f>
        <v>0</v>
      </c>
      <c r="M21" s="27" t="n">
        <f aca="false">IF($B21="",0,$J21*(1+$K21))</f>
        <v>0</v>
      </c>
      <c r="N21" s="28" t="str">
        <f aca="false">IF($B21="","",IF(COUNT($C21:$G21)&lt;5,"Incomplete - score all five",IF(AND($H21&gt;='Tier Reference'!$C$9,$D21=5),"SPLIT into sub-features",IF($H21&gt;='Tier Reference'!$C$9,"Deep estimate required",IF($K21&gt;=0.4,"Deep estimate recommended",IF($J21&gt;='Tier Reference'!$C$17,"Deep estimate recommended",""))))))</f>
        <v/>
      </c>
    </row>
    <row r="22" customFormat="false" ht="21.75" hidden="false" customHeight="true" outlineLevel="0" collapsed="false">
      <c r="A22" s="21"/>
      <c r="B22" s="21"/>
      <c r="C22" s="22"/>
      <c r="D22" s="22"/>
      <c r="E22" s="22"/>
      <c r="F22" s="22"/>
      <c r="G22" s="22"/>
      <c r="H22" s="29" t="n">
        <f aca="false">IF($B22="",0,SUMPRODUCT($C22:$G22,$C$5:$G$5)*5)</f>
        <v>0</v>
      </c>
      <c r="I22" s="30" t="str">
        <f aca="false" t="array" ref="I22:I22">IF(OR($B22="",$H22&lt;5),"",INDEX('Tier Reference'!$B$6:$B$9,MATCH($H22,'Tier Reference'!$C$6:$C$9,1)))</f>
        <v/>
      </c>
      <c r="J22" s="31" t="n">
        <f aca="false" t="array" ref="J22:J22">IF(OR($B22="",$H22&lt;5),0,INDEX('Tier Reference'!$E$6:$E$9,MATCH($H22,'Tier Reference'!$C$6:$C$9,1))+(MIN($H22,25)-INDEX('Tier Reference'!$C$6:$C$9,MATCH($H22,'Tier Reference'!$C$6:$C$9,1)))/(INDEX('Tier Reference'!$D$6:$D$9,MATCH($H22,'Tier Reference'!$C$6:$C$9,1))-INDEX('Tier Reference'!$C$6:$C$9,MATCH($H22,'Tier Reference'!$C$6:$C$9,1)))*(INDEX('Tier Reference'!$F$6:$F$9,MATCH($H22,'Tier Reference'!$C$6:$C$9,1))-INDEX('Tier Reference'!$E$6:$E$9,MATCH($H22,'Tier Reference'!$C$6:$C$9,1))))</f>
        <v>0</v>
      </c>
      <c r="K22" s="32" t="n">
        <f aca="false">IF($B22="",0,'Tier Reference'!$C$14+MAX(0,$F22-1)*'Tier Reference'!$C$15+MAX(0,$G22-1)*'Tier Reference'!$C$16)</f>
        <v>0</v>
      </c>
      <c r="L22" s="33" t="n">
        <f aca="false">IF($B22="",0,$J22*(1-$K22))</f>
        <v>0</v>
      </c>
      <c r="M22" s="33" t="n">
        <f aca="false">IF($B22="",0,$J22*(1+$K22))</f>
        <v>0</v>
      </c>
      <c r="N22" s="34" t="str">
        <f aca="false">IF($B22="","",IF(COUNT($C22:$G22)&lt;5,"Incomplete - score all five",IF(AND($H22&gt;='Tier Reference'!$C$9,$D22=5),"SPLIT into sub-features",IF($H22&gt;='Tier Reference'!$C$9,"Deep estimate required",IF($K22&gt;=0.4,"Deep estimate recommended",IF($J22&gt;='Tier Reference'!$C$17,"Deep estimate recommended",""))))))</f>
        <v/>
      </c>
    </row>
    <row r="23" customFormat="false" ht="21.75" hidden="false" customHeight="true" outlineLevel="0" collapsed="false">
      <c r="A23" s="21"/>
      <c r="B23" s="21"/>
      <c r="C23" s="22"/>
      <c r="D23" s="22"/>
      <c r="E23" s="22"/>
      <c r="F23" s="22"/>
      <c r="G23" s="22"/>
      <c r="H23" s="23" t="n">
        <f aca="false">IF($B23="",0,SUMPRODUCT($C23:$G23,$C$5:$G$5)*5)</f>
        <v>0</v>
      </c>
      <c r="I23" s="24" t="str">
        <f aca="false" t="array" ref="I23:I23">IF(OR($B23="",$H23&lt;5),"",INDEX('Tier Reference'!$B$6:$B$9,MATCH($H23,'Tier Reference'!$C$6:$C$9,1)))</f>
        <v/>
      </c>
      <c r="J23" s="25" t="n">
        <f aca="false" t="array" ref="J23:J23">IF(OR($B23="",$H23&lt;5),0,INDEX('Tier Reference'!$E$6:$E$9,MATCH($H23,'Tier Reference'!$C$6:$C$9,1))+(MIN($H23,25)-INDEX('Tier Reference'!$C$6:$C$9,MATCH($H23,'Tier Reference'!$C$6:$C$9,1)))/(INDEX('Tier Reference'!$D$6:$D$9,MATCH($H23,'Tier Reference'!$C$6:$C$9,1))-INDEX('Tier Reference'!$C$6:$C$9,MATCH($H23,'Tier Reference'!$C$6:$C$9,1)))*(INDEX('Tier Reference'!$F$6:$F$9,MATCH($H23,'Tier Reference'!$C$6:$C$9,1))-INDEX('Tier Reference'!$E$6:$E$9,MATCH($H23,'Tier Reference'!$C$6:$C$9,1))))</f>
        <v>0</v>
      </c>
      <c r="K23" s="26" t="n">
        <f aca="false">IF($B23="",0,'Tier Reference'!$C$14+MAX(0,$F23-1)*'Tier Reference'!$C$15+MAX(0,$G23-1)*'Tier Reference'!$C$16)</f>
        <v>0</v>
      </c>
      <c r="L23" s="27" t="n">
        <f aca="false">IF($B23="",0,$J23*(1-$K23))</f>
        <v>0</v>
      </c>
      <c r="M23" s="27" t="n">
        <f aca="false">IF($B23="",0,$J23*(1+$K23))</f>
        <v>0</v>
      </c>
      <c r="N23" s="28" t="str">
        <f aca="false">IF($B23="","",IF(COUNT($C23:$G23)&lt;5,"Incomplete - score all five",IF(AND($H23&gt;='Tier Reference'!$C$9,$D23=5),"SPLIT into sub-features",IF($H23&gt;='Tier Reference'!$C$9,"Deep estimate required",IF($K23&gt;=0.4,"Deep estimate recommended",IF($J23&gt;='Tier Reference'!$C$17,"Deep estimate recommended",""))))))</f>
        <v/>
      </c>
    </row>
    <row r="24" customFormat="false" ht="21.75" hidden="false" customHeight="true" outlineLevel="0" collapsed="false">
      <c r="A24" s="21"/>
      <c r="B24" s="21"/>
      <c r="C24" s="22"/>
      <c r="D24" s="22"/>
      <c r="E24" s="22"/>
      <c r="F24" s="22"/>
      <c r="G24" s="22"/>
      <c r="H24" s="29" t="n">
        <f aca="false">IF($B24="",0,SUMPRODUCT($C24:$G24,$C$5:$G$5)*5)</f>
        <v>0</v>
      </c>
      <c r="I24" s="30" t="str">
        <f aca="false" t="array" ref="I24:I24">IF(OR($B24="",$H24&lt;5),"",INDEX('Tier Reference'!$B$6:$B$9,MATCH($H24,'Tier Reference'!$C$6:$C$9,1)))</f>
        <v/>
      </c>
      <c r="J24" s="31" t="n">
        <f aca="false" t="array" ref="J24:J24">IF(OR($B24="",$H24&lt;5),0,INDEX('Tier Reference'!$E$6:$E$9,MATCH($H24,'Tier Reference'!$C$6:$C$9,1))+(MIN($H24,25)-INDEX('Tier Reference'!$C$6:$C$9,MATCH($H24,'Tier Reference'!$C$6:$C$9,1)))/(INDEX('Tier Reference'!$D$6:$D$9,MATCH($H24,'Tier Reference'!$C$6:$C$9,1))-INDEX('Tier Reference'!$C$6:$C$9,MATCH($H24,'Tier Reference'!$C$6:$C$9,1)))*(INDEX('Tier Reference'!$F$6:$F$9,MATCH($H24,'Tier Reference'!$C$6:$C$9,1))-INDEX('Tier Reference'!$E$6:$E$9,MATCH($H24,'Tier Reference'!$C$6:$C$9,1))))</f>
        <v>0</v>
      </c>
      <c r="K24" s="32" t="n">
        <f aca="false">IF($B24="",0,'Tier Reference'!$C$14+MAX(0,$F24-1)*'Tier Reference'!$C$15+MAX(0,$G24-1)*'Tier Reference'!$C$16)</f>
        <v>0</v>
      </c>
      <c r="L24" s="33" t="n">
        <f aca="false">IF($B24="",0,$J24*(1-$K24))</f>
        <v>0</v>
      </c>
      <c r="M24" s="33" t="n">
        <f aca="false">IF($B24="",0,$J24*(1+$K24))</f>
        <v>0</v>
      </c>
      <c r="N24" s="34" t="str">
        <f aca="false">IF($B24="","",IF(COUNT($C24:$G24)&lt;5,"Incomplete - score all five",IF(AND($H24&gt;='Tier Reference'!$C$9,$D24=5),"SPLIT into sub-features",IF($H24&gt;='Tier Reference'!$C$9,"Deep estimate required",IF($K24&gt;=0.4,"Deep estimate recommended",IF($J24&gt;='Tier Reference'!$C$17,"Deep estimate recommended",""))))))</f>
        <v/>
      </c>
    </row>
    <row r="25" customFormat="false" ht="21.75" hidden="false" customHeight="true" outlineLevel="0" collapsed="false">
      <c r="A25" s="21"/>
      <c r="B25" s="21"/>
      <c r="C25" s="22"/>
      <c r="D25" s="22"/>
      <c r="E25" s="22"/>
      <c r="F25" s="22"/>
      <c r="G25" s="22"/>
      <c r="H25" s="23" t="n">
        <f aca="false">IF($B25="",0,SUMPRODUCT($C25:$G25,$C$5:$G$5)*5)</f>
        <v>0</v>
      </c>
      <c r="I25" s="24" t="str">
        <f aca="false" t="array" ref="I25:I25">IF(OR($B25="",$H25&lt;5),"",INDEX('Tier Reference'!$B$6:$B$9,MATCH($H25,'Tier Reference'!$C$6:$C$9,1)))</f>
        <v/>
      </c>
      <c r="J25" s="25" t="n">
        <f aca="false" t="array" ref="J25:J25">IF(OR($B25="",$H25&lt;5),0,INDEX('Tier Reference'!$E$6:$E$9,MATCH($H25,'Tier Reference'!$C$6:$C$9,1))+(MIN($H25,25)-INDEX('Tier Reference'!$C$6:$C$9,MATCH($H25,'Tier Reference'!$C$6:$C$9,1)))/(INDEX('Tier Reference'!$D$6:$D$9,MATCH($H25,'Tier Reference'!$C$6:$C$9,1))-INDEX('Tier Reference'!$C$6:$C$9,MATCH($H25,'Tier Reference'!$C$6:$C$9,1)))*(INDEX('Tier Reference'!$F$6:$F$9,MATCH($H25,'Tier Reference'!$C$6:$C$9,1))-INDEX('Tier Reference'!$E$6:$E$9,MATCH($H25,'Tier Reference'!$C$6:$C$9,1))))</f>
        <v>0</v>
      </c>
      <c r="K25" s="26" t="n">
        <f aca="false">IF($B25="",0,'Tier Reference'!$C$14+MAX(0,$F25-1)*'Tier Reference'!$C$15+MAX(0,$G25-1)*'Tier Reference'!$C$16)</f>
        <v>0</v>
      </c>
      <c r="L25" s="27" t="n">
        <f aca="false">IF($B25="",0,$J25*(1-$K25))</f>
        <v>0</v>
      </c>
      <c r="M25" s="27" t="n">
        <f aca="false">IF($B25="",0,$J25*(1+$K25))</f>
        <v>0</v>
      </c>
      <c r="N25" s="28" t="str">
        <f aca="false">IF($B25="","",IF(COUNT($C25:$G25)&lt;5,"Incomplete - score all five",IF(AND($H25&gt;='Tier Reference'!$C$9,$D25=5),"SPLIT into sub-features",IF($H25&gt;='Tier Reference'!$C$9,"Deep estimate required",IF($K25&gt;=0.4,"Deep estimate recommended",IF($J25&gt;='Tier Reference'!$C$17,"Deep estimate recommended",""))))))</f>
        <v/>
      </c>
    </row>
    <row r="26" customFormat="false" ht="21.75" hidden="false" customHeight="true" outlineLevel="0" collapsed="false">
      <c r="A26" s="21"/>
      <c r="B26" s="21"/>
      <c r="C26" s="22"/>
      <c r="D26" s="22"/>
      <c r="E26" s="22"/>
      <c r="F26" s="22"/>
      <c r="G26" s="22"/>
      <c r="H26" s="29" t="n">
        <f aca="false">IF($B26="",0,SUMPRODUCT($C26:$G26,$C$5:$G$5)*5)</f>
        <v>0</v>
      </c>
      <c r="I26" s="30" t="str">
        <f aca="false" t="array" ref="I26:I26">IF(OR($B26="",$H26&lt;5),"",INDEX('Tier Reference'!$B$6:$B$9,MATCH($H26,'Tier Reference'!$C$6:$C$9,1)))</f>
        <v/>
      </c>
      <c r="J26" s="31" t="n">
        <f aca="false" t="array" ref="J26:J26">IF(OR($B26="",$H26&lt;5),0,INDEX('Tier Reference'!$E$6:$E$9,MATCH($H26,'Tier Reference'!$C$6:$C$9,1))+(MIN($H26,25)-INDEX('Tier Reference'!$C$6:$C$9,MATCH($H26,'Tier Reference'!$C$6:$C$9,1)))/(INDEX('Tier Reference'!$D$6:$D$9,MATCH($H26,'Tier Reference'!$C$6:$C$9,1))-INDEX('Tier Reference'!$C$6:$C$9,MATCH($H26,'Tier Reference'!$C$6:$C$9,1)))*(INDEX('Tier Reference'!$F$6:$F$9,MATCH($H26,'Tier Reference'!$C$6:$C$9,1))-INDEX('Tier Reference'!$E$6:$E$9,MATCH($H26,'Tier Reference'!$C$6:$C$9,1))))</f>
        <v>0</v>
      </c>
      <c r="K26" s="32" t="n">
        <f aca="false">IF($B26="",0,'Tier Reference'!$C$14+MAX(0,$F26-1)*'Tier Reference'!$C$15+MAX(0,$G26-1)*'Tier Reference'!$C$16)</f>
        <v>0</v>
      </c>
      <c r="L26" s="33" t="n">
        <f aca="false">IF($B26="",0,$J26*(1-$K26))</f>
        <v>0</v>
      </c>
      <c r="M26" s="33" t="n">
        <f aca="false">IF($B26="",0,$J26*(1+$K26))</f>
        <v>0</v>
      </c>
      <c r="N26" s="34" t="str">
        <f aca="false">IF($B26="","",IF(COUNT($C26:$G26)&lt;5,"Incomplete - score all five",IF(AND($H26&gt;='Tier Reference'!$C$9,$D26=5),"SPLIT into sub-features",IF($H26&gt;='Tier Reference'!$C$9,"Deep estimate required",IF($K26&gt;=0.4,"Deep estimate recommended",IF($J26&gt;='Tier Reference'!$C$17,"Deep estimate recommended",""))))))</f>
        <v/>
      </c>
    </row>
    <row r="27" customFormat="false" ht="21.75" hidden="false" customHeight="true" outlineLevel="0" collapsed="false">
      <c r="A27" s="21"/>
      <c r="B27" s="21"/>
      <c r="C27" s="22"/>
      <c r="D27" s="22"/>
      <c r="E27" s="22"/>
      <c r="F27" s="22"/>
      <c r="G27" s="22"/>
      <c r="H27" s="23" t="n">
        <f aca="false">IF($B27="",0,SUMPRODUCT($C27:$G27,$C$5:$G$5)*5)</f>
        <v>0</v>
      </c>
      <c r="I27" s="24" t="str">
        <f aca="false" t="array" ref="I27:I27">IF(OR($B27="",$H27&lt;5),"",INDEX('Tier Reference'!$B$6:$B$9,MATCH($H27,'Tier Reference'!$C$6:$C$9,1)))</f>
        <v/>
      </c>
      <c r="J27" s="25" t="n">
        <f aca="false" t="array" ref="J27:J27">IF(OR($B27="",$H27&lt;5),0,INDEX('Tier Reference'!$E$6:$E$9,MATCH($H27,'Tier Reference'!$C$6:$C$9,1))+(MIN($H27,25)-INDEX('Tier Reference'!$C$6:$C$9,MATCH($H27,'Tier Reference'!$C$6:$C$9,1)))/(INDEX('Tier Reference'!$D$6:$D$9,MATCH($H27,'Tier Reference'!$C$6:$C$9,1))-INDEX('Tier Reference'!$C$6:$C$9,MATCH($H27,'Tier Reference'!$C$6:$C$9,1)))*(INDEX('Tier Reference'!$F$6:$F$9,MATCH($H27,'Tier Reference'!$C$6:$C$9,1))-INDEX('Tier Reference'!$E$6:$E$9,MATCH($H27,'Tier Reference'!$C$6:$C$9,1))))</f>
        <v>0</v>
      </c>
      <c r="K27" s="26" t="n">
        <f aca="false">IF($B27="",0,'Tier Reference'!$C$14+MAX(0,$F27-1)*'Tier Reference'!$C$15+MAX(0,$G27-1)*'Tier Reference'!$C$16)</f>
        <v>0</v>
      </c>
      <c r="L27" s="27" t="n">
        <f aca="false">IF($B27="",0,$J27*(1-$K27))</f>
        <v>0</v>
      </c>
      <c r="M27" s="27" t="n">
        <f aca="false">IF($B27="",0,$J27*(1+$K27))</f>
        <v>0</v>
      </c>
      <c r="N27" s="28" t="str">
        <f aca="false">IF($B27="","",IF(COUNT($C27:$G27)&lt;5,"Incomplete - score all five",IF(AND($H27&gt;='Tier Reference'!$C$9,$D27=5),"SPLIT into sub-features",IF($H27&gt;='Tier Reference'!$C$9,"Deep estimate required",IF($K27&gt;=0.4,"Deep estimate recommended",IF($J27&gt;='Tier Reference'!$C$17,"Deep estimate recommended",""))))))</f>
        <v/>
      </c>
    </row>
    <row r="28" customFormat="false" ht="21.75" hidden="false" customHeight="true" outlineLevel="0" collapsed="false">
      <c r="A28" s="21"/>
      <c r="B28" s="21"/>
      <c r="C28" s="22"/>
      <c r="D28" s="22"/>
      <c r="E28" s="22"/>
      <c r="F28" s="22"/>
      <c r="G28" s="22"/>
      <c r="H28" s="29" t="n">
        <f aca="false">IF($B28="",0,SUMPRODUCT($C28:$G28,$C$5:$G$5)*5)</f>
        <v>0</v>
      </c>
      <c r="I28" s="30" t="str">
        <f aca="false" t="array" ref="I28:I28">IF(OR($B28="",$H28&lt;5),"",INDEX('Tier Reference'!$B$6:$B$9,MATCH($H28,'Tier Reference'!$C$6:$C$9,1)))</f>
        <v/>
      </c>
      <c r="J28" s="31" t="n">
        <f aca="false" t="array" ref="J28:J28">IF(OR($B28="",$H28&lt;5),0,INDEX('Tier Reference'!$E$6:$E$9,MATCH($H28,'Tier Reference'!$C$6:$C$9,1))+(MIN($H28,25)-INDEX('Tier Reference'!$C$6:$C$9,MATCH($H28,'Tier Reference'!$C$6:$C$9,1)))/(INDEX('Tier Reference'!$D$6:$D$9,MATCH($H28,'Tier Reference'!$C$6:$C$9,1))-INDEX('Tier Reference'!$C$6:$C$9,MATCH($H28,'Tier Reference'!$C$6:$C$9,1)))*(INDEX('Tier Reference'!$F$6:$F$9,MATCH($H28,'Tier Reference'!$C$6:$C$9,1))-INDEX('Tier Reference'!$E$6:$E$9,MATCH($H28,'Tier Reference'!$C$6:$C$9,1))))</f>
        <v>0</v>
      </c>
      <c r="K28" s="32" t="n">
        <f aca="false">IF($B28="",0,'Tier Reference'!$C$14+MAX(0,$F28-1)*'Tier Reference'!$C$15+MAX(0,$G28-1)*'Tier Reference'!$C$16)</f>
        <v>0</v>
      </c>
      <c r="L28" s="33" t="n">
        <f aca="false">IF($B28="",0,$J28*(1-$K28))</f>
        <v>0</v>
      </c>
      <c r="M28" s="33" t="n">
        <f aca="false">IF($B28="",0,$J28*(1+$K28))</f>
        <v>0</v>
      </c>
      <c r="N28" s="34" t="str">
        <f aca="false">IF($B28="","",IF(COUNT($C28:$G28)&lt;5,"Incomplete - score all five",IF(AND($H28&gt;='Tier Reference'!$C$9,$D28=5),"SPLIT into sub-features",IF($H28&gt;='Tier Reference'!$C$9,"Deep estimate required",IF($K28&gt;=0.4,"Deep estimate recommended",IF($J28&gt;='Tier Reference'!$C$17,"Deep estimate recommended",""))))))</f>
        <v/>
      </c>
    </row>
    <row r="29" customFormat="false" ht="21.75" hidden="false" customHeight="true" outlineLevel="0" collapsed="false">
      <c r="A29" s="21"/>
      <c r="B29" s="21"/>
      <c r="C29" s="22"/>
      <c r="D29" s="22"/>
      <c r="E29" s="22"/>
      <c r="F29" s="22"/>
      <c r="G29" s="22"/>
      <c r="H29" s="23" t="n">
        <f aca="false">IF($B29="",0,SUMPRODUCT($C29:$G29,$C$5:$G$5)*5)</f>
        <v>0</v>
      </c>
      <c r="I29" s="24" t="str">
        <f aca="false" t="array" ref="I29:I29">IF(OR($B29="",$H29&lt;5),"",INDEX('Tier Reference'!$B$6:$B$9,MATCH($H29,'Tier Reference'!$C$6:$C$9,1)))</f>
        <v/>
      </c>
      <c r="J29" s="25" t="n">
        <f aca="false" t="array" ref="J29:J29">IF(OR($B29="",$H29&lt;5),0,INDEX('Tier Reference'!$E$6:$E$9,MATCH($H29,'Tier Reference'!$C$6:$C$9,1))+(MIN($H29,25)-INDEX('Tier Reference'!$C$6:$C$9,MATCH($H29,'Tier Reference'!$C$6:$C$9,1)))/(INDEX('Tier Reference'!$D$6:$D$9,MATCH($H29,'Tier Reference'!$C$6:$C$9,1))-INDEX('Tier Reference'!$C$6:$C$9,MATCH($H29,'Tier Reference'!$C$6:$C$9,1)))*(INDEX('Tier Reference'!$F$6:$F$9,MATCH($H29,'Tier Reference'!$C$6:$C$9,1))-INDEX('Tier Reference'!$E$6:$E$9,MATCH($H29,'Tier Reference'!$C$6:$C$9,1))))</f>
        <v>0</v>
      </c>
      <c r="K29" s="26" t="n">
        <f aca="false">IF($B29="",0,'Tier Reference'!$C$14+MAX(0,$F29-1)*'Tier Reference'!$C$15+MAX(0,$G29-1)*'Tier Reference'!$C$16)</f>
        <v>0</v>
      </c>
      <c r="L29" s="27" t="n">
        <f aca="false">IF($B29="",0,$J29*(1-$K29))</f>
        <v>0</v>
      </c>
      <c r="M29" s="27" t="n">
        <f aca="false">IF($B29="",0,$J29*(1+$K29))</f>
        <v>0</v>
      </c>
      <c r="N29" s="28" t="str">
        <f aca="false">IF($B29="","",IF(COUNT($C29:$G29)&lt;5,"Incomplete - score all five",IF(AND($H29&gt;='Tier Reference'!$C$9,$D29=5),"SPLIT into sub-features",IF($H29&gt;='Tier Reference'!$C$9,"Deep estimate required",IF($K29&gt;=0.4,"Deep estimate recommended",IF($J29&gt;='Tier Reference'!$C$17,"Deep estimate recommended",""))))))</f>
        <v/>
      </c>
    </row>
    <row r="30" customFormat="false" ht="21.75" hidden="false" customHeight="true" outlineLevel="0" collapsed="false">
      <c r="A30" s="21"/>
      <c r="B30" s="21"/>
      <c r="C30" s="22"/>
      <c r="D30" s="22"/>
      <c r="E30" s="22"/>
      <c r="F30" s="22"/>
      <c r="G30" s="22"/>
      <c r="H30" s="29" t="n">
        <f aca="false">IF($B30="",0,SUMPRODUCT($C30:$G30,$C$5:$G$5)*5)</f>
        <v>0</v>
      </c>
      <c r="I30" s="30" t="str">
        <f aca="false" t="array" ref="I30:I30">IF(OR($B30="",$H30&lt;5),"",INDEX('Tier Reference'!$B$6:$B$9,MATCH($H30,'Tier Reference'!$C$6:$C$9,1)))</f>
        <v/>
      </c>
      <c r="J30" s="31" t="n">
        <f aca="false" t="array" ref="J30:J30">IF(OR($B30="",$H30&lt;5),0,INDEX('Tier Reference'!$E$6:$E$9,MATCH($H30,'Tier Reference'!$C$6:$C$9,1))+(MIN($H30,25)-INDEX('Tier Reference'!$C$6:$C$9,MATCH($H30,'Tier Reference'!$C$6:$C$9,1)))/(INDEX('Tier Reference'!$D$6:$D$9,MATCH($H30,'Tier Reference'!$C$6:$C$9,1))-INDEX('Tier Reference'!$C$6:$C$9,MATCH($H30,'Tier Reference'!$C$6:$C$9,1)))*(INDEX('Tier Reference'!$F$6:$F$9,MATCH($H30,'Tier Reference'!$C$6:$C$9,1))-INDEX('Tier Reference'!$E$6:$E$9,MATCH($H30,'Tier Reference'!$C$6:$C$9,1))))</f>
        <v>0</v>
      </c>
      <c r="K30" s="32" t="n">
        <f aca="false">IF($B30="",0,'Tier Reference'!$C$14+MAX(0,$F30-1)*'Tier Reference'!$C$15+MAX(0,$G30-1)*'Tier Reference'!$C$16)</f>
        <v>0</v>
      </c>
      <c r="L30" s="33" t="n">
        <f aca="false">IF($B30="",0,$J30*(1-$K30))</f>
        <v>0</v>
      </c>
      <c r="M30" s="33" t="n">
        <f aca="false">IF($B30="",0,$J30*(1+$K30))</f>
        <v>0</v>
      </c>
      <c r="N30" s="34" t="str">
        <f aca="false">IF($B30="","",IF(COUNT($C30:$G30)&lt;5,"Incomplete - score all five",IF(AND($H30&gt;='Tier Reference'!$C$9,$D30=5),"SPLIT into sub-features",IF($H30&gt;='Tier Reference'!$C$9,"Deep estimate required",IF($K30&gt;=0.4,"Deep estimate recommended",IF($J30&gt;='Tier Reference'!$C$17,"Deep estimate recommended",""))))))</f>
        <v/>
      </c>
    </row>
    <row r="31" customFormat="false" ht="21.75" hidden="false" customHeight="true" outlineLevel="0" collapsed="false">
      <c r="A31" s="21"/>
      <c r="B31" s="21"/>
      <c r="C31" s="22"/>
      <c r="D31" s="22"/>
      <c r="E31" s="22"/>
      <c r="F31" s="22"/>
      <c r="G31" s="22"/>
      <c r="H31" s="23" t="n">
        <f aca="false">IF($B31="",0,SUMPRODUCT($C31:$G31,$C$5:$G$5)*5)</f>
        <v>0</v>
      </c>
      <c r="I31" s="24" t="str">
        <f aca="false" t="array" ref="I31:I31">IF(OR($B31="",$H31&lt;5),"",INDEX('Tier Reference'!$B$6:$B$9,MATCH($H31,'Tier Reference'!$C$6:$C$9,1)))</f>
        <v/>
      </c>
      <c r="J31" s="25" t="n">
        <f aca="false" t="array" ref="J31:J31">IF(OR($B31="",$H31&lt;5),0,INDEX('Tier Reference'!$E$6:$E$9,MATCH($H31,'Tier Reference'!$C$6:$C$9,1))+(MIN($H31,25)-INDEX('Tier Reference'!$C$6:$C$9,MATCH($H31,'Tier Reference'!$C$6:$C$9,1)))/(INDEX('Tier Reference'!$D$6:$D$9,MATCH($H31,'Tier Reference'!$C$6:$C$9,1))-INDEX('Tier Reference'!$C$6:$C$9,MATCH($H31,'Tier Reference'!$C$6:$C$9,1)))*(INDEX('Tier Reference'!$F$6:$F$9,MATCH($H31,'Tier Reference'!$C$6:$C$9,1))-INDEX('Tier Reference'!$E$6:$E$9,MATCH($H31,'Tier Reference'!$C$6:$C$9,1))))</f>
        <v>0</v>
      </c>
      <c r="K31" s="26" t="n">
        <f aca="false">IF($B31="",0,'Tier Reference'!$C$14+MAX(0,$F31-1)*'Tier Reference'!$C$15+MAX(0,$G31-1)*'Tier Reference'!$C$16)</f>
        <v>0</v>
      </c>
      <c r="L31" s="27" t="n">
        <f aca="false">IF($B31="",0,$J31*(1-$K31))</f>
        <v>0</v>
      </c>
      <c r="M31" s="27" t="n">
        <f aca="false">IF($B31="",0,$J31*(1+$K31))</f>
        <v>0</v>
      </c>
      <c r="N31" s="28" t="str">
        <f aca="false">IF($B31="","",IF(COUNT($C31:$G31)&lt;5,"Incomplete - score all five",IF(AND($H31&gt;='Tier Reference'!$C$9,$D31=5),"SPLIT into sub-features",IF($H31&gt;='Tier Reference'!$C$9,"Deep estimate required",IF($K31&gt;=0.4,"Deep estimate recommended",IF($J31&gt;='Tier Reference'!$C$17,"Deep estimate recommended",""))))))</f>
        <v/>
      </c>
    </row>
    <row r="32" customFormat="false" ht="21.75" hidden="false" customHeight="true" outlineLevel="0" collapsed="false">
      <c r="A32" s="21"/>
      <c r="B32" s="21"/>
      <c r="C32" s="22"/>
      <c r="D32" s="22"/>
      <c r="E32" s="22"/>
      <c r="F32" s="22"/>
      <c r="G32" s="22"/>
      <c r="H32" s="29" t="n">
        <f aca="false">IF($B32="",0,SUMPRODUCT($C32:$G32,$C$5:$G$5)*5)</f>
        <v>0</v>
      </c>
      <c r="I32" s="30" t="str">
        <f aca="false" t="array" ref="I32:I32">IF(OR($B32="",$H32&lt;5),"",INDEX('Tier Reference'!$B$6:$B$9,MATCH($H32,'Tier Reference'!$C$6:$C$9,1)))</f>
        <v/>
      </c>
      <c r="J32" s="31" t="n">
        <f aca="false" t="array" ref="J32:J32">IF(OR($B32="",$H32&lt;5),0,INDEX('Tier Reference'!$E$6:$E$9,MATCH($H32,'Tier Reference'!$C$6:$C$9,1))+(MIN($H32,25)-INDEX('Tier Reference'!$C$6:$C$9,MATCH($H32,'Tier Reference'!$C$6:$C$9,1)))/(INDEX('Tier Reference'!$D$6:$D$9,MATCH($H32,'Tier Reference'!$C$6:$C$9,1))-INDEX('Tier Reference'!$C$6:$C$9,MATCH($H32,'Tier Reference'!$C$6:$C$9,1)))*(INDEX('Tier Reference'!$F$6:$F$9,MATCH($H32,'Tier Reference'!$C$6:$C$9,1))-INDEX('Tier Reference'!$E$6:$E$9,MATCH($H32,'Tier Reference'!$C$6:$C$9,1))))</f>
        <v>0</v>
      </c>
      <c r="K32" s="32" t="n">
        <f aca="false">IF($B32="",0,'Tier Reference'!$C$14+MAX(0,$F32-1)*'Tier Reference'!$C$15+MAX(0,$G32-1)*'Tier Reference'!$C$16)</f>
        <v>0</v>
      </c>
      <c r="L32" s="33" t="n">
        <f aca="false">IF($B32="",0,$J32*(1-$K32))</f>
        <v>0</v>
      </c>
      <c r="M32" s="33" t="n">
        <f aca="false">IF($B32="",0,$J32*(1+$K32))</f>
        <v>0</v>
      </c>
      <c r="N32" s="34" t="str">
        <f aca="false">IF($B32="","",IF(COUNT($C32:$G32)&lt;5,"Incomplete - score all five",IF(AND($H32&gt;='Tier Reference'!$C$9,$D32=5),"SPLIT into sub-features",IF($H32&gt;='Tier Reference'!$C$9,"Deep estimate required",IF($K32&gt;=0.4,"Deep estimate recommended",IF($J32&gt;='Tier Reference'!$C$17,"Deep estimate recommended",""))))))</f>
        <v/>
      </c>
    </row>
    <row r="33" customFormat="false" ht="21.75" hidden="false" customHeight="true" outlineLevel="0" collapsed="false">
      <c r="A33" s="21"/>
      <c r="B33" s="21"/>
      <c r="C33" s="22"/>
      <c r="D33" s="22"/>
      <c r="E33" s="22"/>
      <c r="F33" s="22"/>
      <c r="G33" s="22"/>
      <c r="H33" s="23" t="n">
        <f aca="false">IF($B33="",0,SUMPRODUCT($C33:$G33,$C$5:$G$5)*5)</f>
        <v>0</v>
      </c>
      <c r="I33" s="24" t="str">
        <f aca="false" t="array" ref="I33:I33">IF(OR($B33="",$H33&lt;5),"",INDEX('Tier Reference'!$B$6:$B$9,MATCH($H33,'Tier Reference'!$C$6:$C$9,1)))</f>
        <v/>
      </c>
      <c r="J33" s="25" t="n">
        <f aca="false" t="array" ref="J33:J33">IF(OR($B33="",$H33&lt;5),0,INDEX('Tier Reference'!$E$6:$E$9,MATCH($H33,'Tier Reference'!$C$6:$C$9,1))+(MIN($H33,25)-INDEX('Tier Reference'!$C$6:$C$9,MATCH($H33,'Tier Reference'!$C$6:$C$9,1)))/(INDEX('Tier Reference'!$D$6:$D$9,MATCH($H33,'Tier Reference'!$C$6:$C$9,1))-INDEX('Tier Reference'!$C$6:$C$9,MATCH($H33,'Tier Reference'!$C$6:$C$9,1)))*(INDEX('Tier Reference'!$F$6:$F$9,MATCH($H33,'Tier Reference'!$C$6:$C$9,1))-INDEX('Tier Reference'!$E$6:$E$9,MATCH($H33,'Tier Reference'!$C$6:$C$9,1))))</f>
        <v>0</v>
      </c>
      <c r="K33" s="26" t="n">
        <f aca="false">IF($B33="",0,'Tier Reference'!$C$14+MAX(0,$F33-1)*'Tier Reference'!$C$15+MAX(0,$G33-1)*'Tier Reference'!$C$16)</f>
        <v>0</v>
      </c>
      <c r="L33" s="27" t="n">
        <f aca="false">IF($B33="",0,$J33*(1-$K33))</f>
        <v>0</v>
      </c>
      <c r="M33" s="27" t="n">
        <f aca="false">IF($B33="",0,$J33*(1+$K33))</f>
        <v>0</v>
      </c>
      <c r="N33" s="28" t="str">
        <f aca="false">IF($B33="","",IF(COUNT($C33:$G33)&lt;5,"Incomplete - score all five",IF(AND($H33&gt;='Tier Reference'!$C$9,$D33=5),"SPLIT into sub-features",IF($H33&gt;='Tier Reference'!$C$9,"Deep estimate required",IF($K33&gt;=0.4,"Deep estimate recommended",IF($J33&gt;='Tier Reference'!$C$17,"Deep estimate recommended",""))))))</f>
        <v/>
      </c>
    </row>
    <row r="34" customFormat="false" ht="21.75" hidden="false" customHeight="true" outlineLevel="0" collapsed="false">
      <c r="A34" s="21"/>
      <c r="B34" s="21"/>
      <c r="C34" s="22"/>
      <c r="D34" s="22"/>
      <c r="E34" s="22"/>
      <c r="F34" s="22"/>
      <c r="G34" s="22"/>
      <c r="H34" s="29" t="n">
        <f aca="false">IF($B34="",0,SUMPRODUCT($C34:$G34,$C$5:$G$5)*5)</f>
        <v>0</v>
      </c>
      <c r="I34" s="30" t="str">
        <f aca="false" t="array" ref="I34:I34">IF(OR($B34="",$H34&lt;5),"",INDEX('Tier Reference'!$B$6:$B$9,MATCH($H34,'Tier Reference'!$C$6:$C$9,1)))</f>
        <v/>
      </c>
      <c r="J34" s="31" t="n">
        <f aca="false" t="array" ref="J34:J34">IF(OR($B34="",$H34&lt;5),0,INDEX('Tier Reference'!$E$6:$E$9,MATCH($H34,'Tier Reference'!$C$6:$C$9,1))+(MIN($H34,25)-INDEX('Tier Reference'!$C$6:$C$9,MATCH($H34,'Tier Reference'!$C$6:$C$9,1)))/(INDEX('Tier Reference'!$D$6:$D$9,MATCH($H34,'Tier Reference'!$C$6:$C$9,1))-INDEX('Tier Reference'!$C$6:$C$9,MATCH($H34,'Tier Reference'!$C$6:$C$9,1)))*(INDEX('Tier Reference'!$F$6:$F$9,MATCH($H34,'Tier Reference'!$C$6:$C$9,1))-INDEX('Tier Reference'!$E$6:$E$9,MATCH($H34,'Tier Reference'!$C$6:$C$9,1))))</f>
        <v>0</v>
      </c>
      <c r="K34" s="32" t="n">
        <f aca="false">IF($B34="",0,'Tier Reference'!$C$14+MAX(0,$F34-1)*'Tier Reference'!$C$15+MAX(0,$G34-1)*'Tier Reference'!$C$16)</f>
        <v>0</v>
      </c>
      <c r="L34" s="33" t="n">
        <f aca="false">IF($B34="",0,$J34*(1-$K34))</f>
        <v>0</v>
      </c>
      <c r="M34" s="33" t="n">
        <f aca="false">IF($B34="",0,$J34*(1+$K34))</f>
        <v>0</v>
      </c>
      <c r="N34" s="34" t="str">
        <f aca="false">IF($B34="","",IF(COUNT($C34:$G34)&lt;5,"Incomplete - score all five",IF(AND($H34&gt;='Tier Reference'!$C$9,$D34=5),"SPLIT into sub-features",IF($H34&gt;='Tier Reference'!$C$9,"Deep estimate required",IF($K34&gt;=0.4,"Deep estimate recommended",IF($J34&gt;='Tier Reference'!$C$17,"Deep estimate recommended",""))))))</f>
        <v/>
      </c>
    </row>
    <row r="35" customFormat="false" ht="21.75" hidden="false" customHeight="true" outlineLevel="0" collapsed="false">
      <c r="A35" s="21"/>
      <c r="B35" s="21"/>
      <c r="C35" s="22"/>
      <c r="D35" s="22"/>
      <c r="E35" s="22"/>
      <c r="F35" s="22"/>
      <c r="G35" s="22"/>
      <c r="H35" s="23" t="n">
        <f aca="false">IF($B35="",0,SUMPRODUCT($C35:$G35,$C$5:$G$5)*5)</f>
        <v>0</v>
      </c>
      <c r="I35" s="24" t="str">
        <f aca="false" t="array" ref="I35:I35">IF(OR($B35="",$H35&lt;5),"",INDEX('Tier Reference'!$B$6:$B$9,MATCH($H35,'Tier Reference'!$C$6:$C$9,1)))</f>
        <v/>
      </c>
      <c r="J35" s="25" t="n">
        <f aca="false" t="array" ref="J35:J35">IF(OR($B35="",$H35&lt;5),0,INDEX('Tier Reference'!$E$6:$E$9,MATCH($H35,'Tier Reference'!$C$6:$C$9,1))+(MIN($H35,25)-INDEX('Tier Reference'!$C$6:$C$9,MATCH($H35,'Tier Reference'!$C$6:$C$9,1)))/(INDEX('Tier Reference'!$D$6:$D$9,MATCH($H35,'Tier Reference'!$C$6:$C$9,1))-INDEX('Tier Reference'!$C$6:$C$9,MATCH($H35,'Tier Reference'!$C$6:$C$9,1)))*(INDEX('Tier Reference'!$F$6:$F$9,MATCH($H35,'Tier Reference'!$C$6:$C$9,1))-INDEX('Tier Reference'!$E$6:$E$9,MATCH($H35,'Tier Reference'!$C$6:$C$9,1))))</f>
        <v>0</v>
      </c>
      <c r="K35" s="26" t="n">
        <f aca="false">IF($B35="",0,'Tier Reference'!$C$14+MAX(0,$F35-1)*'Tier Reference'!$C$15+MAX(0,$G35-1)*'Tier Reference'!$C$16)</f>
        <v>0</v>
      </c>
      <c r="L35" s="27" t="n">
        <f aca="false">IF($B35="",0,$J35*(1-$K35))</f>
        <v>0</v>
      </c>
      <c r="M35" s="27" t="n">
        <f aca="false">IF($B35="",0,$J35*(1+$K35))</f>
        <v>0</v>
      </c>
      <c r="N35" s="28" t="str">
        <f aca="false">IF($B35="","",IF(COUNT($C35:$G35)&lt;5,"Incomplete - score all five",IF(AND($H35&gt;='Tier Reference'!$C$9,$D35=5),"SPLIT into sub-features",IF($H35&gt;='Tier Reference'!$C$9,"Deep estimate required",IF($K35&gt;=0.4,"Deep estimate recommended",IF($J35&gt;='Tier Reference'!$C$17,"Deep estimate recommended",""))))))</f>
        <v/>
      </c>
    </row>
    <row r="36" customFormat="false" ht="21.75" hidden="false" customHeight="true" outlineLevel="0" collapsed="false">
      <c r="A36" s="21"/>
      <c r="B36" s="21"/>
      <c r="C36" s="22"/>
      <c r="D36" s="22"/>
      <c r="E36" s="22"/>
      <c r="F36" s="22"/>
      <c r="G36" s="22"/>
      <c r="H36" s="29" t="n">
        <f aca="false">IF($B36="",0,SUMPRODUCT($C36:$G36,$C$5:$G$5)*5)</f>
        <v>0</v>
      </c>
      <c r="I36" s="30" t="str">
        <f aca="false" t="array" ref="I36:I36">IF(OR($B36="",$H36&lt;5),"",INDEX('Tier Reference'!$B$6:$B$9,MATCH($H36,'Tier Reference'!$C$6:$C$9,1)))</f>
        <v/>
      </c>
      <c r="J36" s="31" t="n">
        <f aca="false" t="array" ref="J36:J36">IF(OR($B36="",$H36&lt;5),0,INDEX('Tier Reference'!$E$6:$E$9,MATCH($H36,'Tier Reference'!$C$6:$C$9,1))+(MIN($H36,25)-INDEX('Tier Reference'!$C$6:$C$9,MATCH($H36,'Tier Reference'!$C$6:$C$9,1)))/(INDEX('Tier Reference'!$D$6:$D$9,MATCH($H36,'Tier Reference'!$C$6:$C$9,1))-INDEX('Tier Reference'!$C$6:$C$9,MATCH($H36,'Tier Reference'!$C$6:$C$9,1)))*(INDEX('Tier Reference'!$F$6:$F$9,MATCH($H36,'Tier Reference'!$C$6:$C$9,1))-INDEX('Tier Reference'!$E$6:$E$9,MATCH($H36,'Tier Reference'!$C$6:$C$9,1))))</f>
        <v>0</v>
      </c>
      <c r="K36" s="32" t="n">
        <f aca="false">IF($B36="",0,'Tier Reference'!$C$14+MAX(0,$F36-1)*'Tier Reference'!$C$15+MAX(0,$G36-1)*'Tier Reference'!$C$16)</f>
        <v>0</v>
      </c>
      <c r="L36" s="33" t="n">
        <f aca="false">IF($B36="",0,$J36*(1-$K36))</f>
        <v>0</v>
      </c>
      <c r="M36" s="33" t="n">
        <f aca="false">IF($B36="",0,$J36*(1+$K36))</f>
        <v>0</v>
      </c>
      <c r="N36" s="34" t="str">
        <f aca="false">IF($B36="","",IF(COUNT($C36:$G36)&lt;5,"Incomplete - score all five",IF(AND($H36&gt;='Tier Reference'!$C$9,$D36=5),"SPLIT into sub-features",IF($H36&gt;='Tier Reference'!$C$9,"Deep estimate required",IF($K36&gt;=0.4,"Deep estimate recommended",IF($J36&gt;='Tier Reference'!$C$17,"Deep estimate recommended",""))))))</f>
        <v/>
      </c>
    </row>
    <row r="37" customFormat="false" ht="21.75" hidden="false" customHeight="true" outlineLevel="0" collapsed="false">
      <c r="A37" s="35"/>
      <c r="B37" s="35" t="s">
        <v>80</v>
      </c>
      <c r="C37" s="36"/>
      <c r="D37" s="36"/>
      <c r="E37" s="36"/>
      <c r="F37" s="36"/>
      <c r="G37" s="36" t="s">
        <v>81</v>
      </c>
      <c r="H37" s="37" t="n">
        <f aca="false">COUNTIF($B$7:$B$36,"?*")</f>
        <v>5</v>
      </c>
      <c r="I37" s="36"/>
      <c r="J37" s="38" t="n">
        <f aca="false">SUM($J$7:$J$36)</f>
        <v>16211.53846</v>
      </c>
      <c r="K37" s="36"/>
      <c r="L37" s="38" t="n">
        <f aca="false">SUM($L$7:$L$36)</f>
        <v>10245.22436</v>
      </c>
      <c r="M37" s="38" t="n">
        <f aca="false">SUM($M$7:$M$36)</f>
        <v>22177.85256</v>
      </c>
      <c r="N37" s="36" t="s">
        <v>82</v>
      </c>
    </row>
    <row r="38" customFormat="false" ht="15.75" hidden="false" customHeight="true" outlineLevel="0" collapsed="false"/>
    <row r="39" customFormat="false" ht="39.75" hidden="false" customHeight="true" outlineLevel="0" collapsed="false">
      <c r="A39" s="39" t="s">
        <v>83</v>
      </c>
      <c r="B39" s="39"/>
      <c r="C39" s="39"/>
      <c r="D39" s="39"/>
      <c r="E39" s="39"/>
      <c r="F39" s="39"/>
      <c r="G39" s="39"/>
      <c r="H39" s="39"/>
      <c r="I39" s="39"/>
      <c r="J39" s="39"/>
      <c r="K39" s="39"/>
      <c r="L39" s="39"/>
      <c r="M39" s="39"/>
      <c r="N39" s="39"/>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A1:N1"/>
    <mergeCell ref="A2:N2"/>
    <mergeCell ref="J5:N5"/>
    <mergeCell ref="A39:N39"/>
  </mergeCells>
  <dataValidations count="1">
    <dataValidation allowBlank="true" errorStyle="stop" operator="between" prompt="Invalid score - Score each dimension from 1 to 5." showDropDown="false" showErrorMessage="true" showInputMessage="true" sqref="C7:G36" type="decimal">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2"/>
    <col collapsed="false" customWidth="true" hidden="false" outlineLevel="0" max="6" min="2" style="0" width="32"/>
    <col collapsed="false" customWidth="true" hidden="false" outlineLevel="0" max="26" min="7" style="0" width="8.71"/>
  </cols>
  <sheetData>
    <row r="1" customFormat="false" ht="30" hidden="false" customHeight="true" outlineLevel="0" collapsed="false">
      <c r="A1" s="1" t="s">
        <v>84</v>
      </c>
      <c r="B1" s="1"/>
      <c r="C1" s="1"/>
      <c r="D1" s="1"/>
      <c r="E1" s="1"/>
      <c r="F1" s="1"/>
    </row>
    <row r="2" customFormat="false" ht="19.5" hidden="false" customHeight="true" outlineLevel="0" collapsed="false">
      <c r="A2" s="2" t="s">
        <v>85</v>
      </c>
      <c r="B2" s="2"/>
      <c r="C2" s="2"/>
      <c r="D2" s="2"/>
      <c r="E2" s="2"/>
      <c r="F2" s="2"/>
    </row>
    <row r="4" customFormat="false" ht="19.5" hidden="false" customHeight="true" outlineLevel="0" collapsed="false">
      <c r="A4" s="3" t="s">
        <v>86</v>
      </c>
      <c r="B4" s="3"/>
      <c r="C4" s="3"/>
      <c r="D4" s="3"/>
      <c r="E4" s="3"/>
      <c r="F4" s="3"/>
    </row>
    <row r="5" customFormat="false" ht="15.75" hidden="false" customHeight="true" outlineLevel="0" collapsed="false">
      <c r="A5" s="40" t="s">
        <v>87</v>
      </c>
      <c r="B5" s="40"/>
      <c r="C5" s="40"/>
      <c r="D5" s="40"/>
      <c r="E5" s="40"/>
      <c r="F5" s="40"/>
    </row>
    <row r="6" customFormat="false" ht="18" hidden="false" customHeight="true" outlineLevel="0" collapsed="false">
      <c r="A6" s="41"/>
      <c r="B6" s="41" t="s">
        <v>88</v>
      </c>
      <c r="C6" s="41" t="s">
        <v>89</v>
      </c>
      <c r="D6" s="41" t="s">
        <v>90</v>
      </c>
      <c r="E6" s="41" t="s">
        <v>91</v>
      </c>
      <c r="F6" s="41" t="s">
        <v>92</v>
      </c>
    </row>
    <row r="7" customFormat="false" ht="54" hidden="false" customHeight="true" outlineLevel="0" collapsed="false">
      <c r="A7" s="42" t="s">
        <v>93</v>
      </c>
      <c r="B7" s="43" t="s">
        <v>94</v>
      </c>
      <c r="C7" s="43" t="s">
        <v>95</v>
      </c>
      <c r="D7" s="43" t="s">
        <v>96</v>
      </c>
      <c r="E7" s="43" t="s">
        <v>97</v>
      </c>
      <c r="F7" s="43" t="s">
        <v>98</v>
      </c>
    </row>
    <row r="9" customFormat="false" ht="19.5" hidden="false" customHeight="true" outlineLevel="0" collapsed="false">
      <c r="A9" s="3" t="s">
        <v>99</v>
      </c>
      <c r="B9" s="3"/>
      <c r="C9" s="3"/>
      <c r="D9" s="3"/>
      <c r="E9" s="3"/>
      <c r="F9" s="3"/>
    </row>
    <row r="10" customFormat="false" ht="15.75" hidden="false" customHeight="true" outlineLevel="0" collapsed="false">
      <c r="A10" s="40" t="s">
        <v>100</v>
      </c>
      <c r="B10" s="40"/>
      <c r="C10" s="40"/>
      <c r="D10" s="40"/>
      <c r="E10" s="40"/>
      <c r="F10" s="40"/>
    </row>
    <row r="11" customFormat="false" ht="18" hidden="false" customHeight="true" outlineLevel="0" collapsed="false">
      <c r="A11" s="41"/>
      <c r="B11" s="41" t="s">
        <v>88</v>
      </c>
      <c r="C11" s="41" t="s">
        <v>89</v>
      </c>
      <c r="D11" s="41" t="s">
        <v>90</v>
      </c>
      <c r="E11" s="41" t="s">
        <v>91</v>
      </c>
      <c r="F11" s="41" t="s">
        <v>92</v>
      </c>
    </row>
    <row r="12" customFormat="false" ht="54" hidden="false" customHeight="true" outlineLevel="0" collapsed="false">
      <c r="A12" s="42" t="s">
        <v>101</v>
      </c>
      <c r="B12" s="43" t="s">
        <v>102</v>
      </c>
      <c r="C12" s="43" t="s">
        <v>103</v>
      </c>
      <c r="D12" s="43" t="s">
        <v>104</v>
      </c>
      <c r="E12" s="43" t="s">
        <v>105</v>
      </c>
      <c r="F12" s="43" t="s">
        <v>106</v>
      </c>
    </row>
    <row r="14" customFormat="false" ht="19.5" hidden="false" customHeight="true" outlineLevel="0" collapsed="false">
      <c r="A14" s="3" t="s">
        <v>107</v>
      </c>
      <c r="B14" s="3"/>
      <c r="C14" s="3"/>
      <c r="D14" s="3"/>
      <c r="E14" s="3"/>
      <c r="F14" s="3"/>
    </row>
    <row r="15" customFormat="false" ht="15.75" hidden="false" customHeight="true" outlineLevel="0" collapsed="false">
      <c r="A15" s="40" t="s">
        <v>87</v>
      </c>
      <c r="B15" s="40"/>
      <c r="C15" s="40"/>
      <c r="D15" s="40"/>
      <c r="E15" s="40"/>
      <c r="F15" s="40"/>
    </row>
    <row r="16" customFormat="false" ht="18" hidden="false" customHeight="true" outlineLevel="0" collapsed="false">
      <c r="A16" s="41"/>
      <c r="B16" s="41" t="s">
        <v>88</v>
      </c>
      <c r="C16" s="41" t="s">
        <v>89</v>
      </c>
      <c r="D16" s="41" t="s">
        <v>90</v>
      </c>
      <c r="E16" s="41" t="s">
        <v>91</v>
      </c>
      <c r="F16" s="41" t="s">
        <v>92</v>
      </c>
    </row>
    <row r="17" customFormat="false" ht="54" hidden="false" customHeight="true" outlineLevel="0" collapsed="false">
      <c r="A17" s="42" t="s">
        <v>108</v>
      </c>
      <c r="B17" s="43" t="s">
        <v>109</v>
      </c>
      <c r="C17" s="43" t="s">
        <v>110</v>
      </c>
      <c r="D17" s="43" t="s">
        <v>111</v>
      </c>
      <c r="E17" s="43" t="s">
        <v>112</v>
      </c>
      <c r="F17" s="43" t="s">
        <v>113</v>
      </c>
    </row>
    <row r="19" customFormat="false" ht="19.5" hidden="false" customHeight="true" outlineLevel="0" collapsed="false">
      <c r="A19" s="3" t="s">
        <v>114</v>
      </c>
      <c r="B19" s="3"/>
      <c r="C19" s="3"/>
      <c r="D19" s="3"/>
      <c r="E19" s="3"/>
      <c r="F19" s="3"/>
    </row>
    <row r="20" customFormat="false" ht="15.75" hidden="false" customHeight="true" outlineLevel="0" collapsed="false">
      <c r="A20" s="40" t="s">
        <v>115</v>
      </c>
      <c r="B20" s="40"/>
      <c r="C20" s="40"/>
      <c r="D20" s="40"/>
      <c r="E20" s="40"/>
      <c r="F20" s="40"/>
    </row>
    <row r="21" customFormat="false" ht="18" hidden="false" customHeight="true" outlineLevel="0" collapsed="false">
      <c r="A21" s="41"/>
      <c r="B21" s="41" t="s">
        <v>88</v>
      </c>
      <c r="C21" s="41" t="s">
        <v>89</v>
      </c>
      <c r="D21" s="41" t="s">
        <v>90</v>
      </c>
      <c r="E21" s="41" t="s">
        <v>91</v>
      </c>
      <c r="F21" s="41" t="s">
        <v>92</v>
      </c>
    </row>
    <row r="22" customFormat="false" ht="54" hidden="false" customHeight="true" outlineLevel="0" collapsed="false">
      <c r="A22" s="42" t="s">
        <v>116</v>
      </c>
      <c r="B22" s="43" t="s">
        <v>117</v>
      </c>
      <c r="C22" s="43" t="s">
        <v>118</v>
      </c>
      <c r="D22" s="43" t="s">
        <v>119</v>
      </c>
      <c r="E22" s="43" t="s">
        <v>120</v>
      </c>
      <c r="F22" s="43" t="s">
        <v>121</v>
      </c>
    </row>
    <row r="23" customFormat="false" ht="15.75" hidden="false" customHeight="true" outlineLevel="0" collapsed="false"/>
    <row r="24" customFormat="false" ht="19.5" hidden="false" customHeight="true" outlineLevel="0" collapsed="false">
      <c r="A24" s="3" t="s">
        <v>122</v>
      </c>
      <c r="B24" s="3"/>
      <c r="C24" s="3"/>
      <c r="D24" s="3"/>
      <c r="E24" s="3"/>
      <c r="F24" s="3"/>
    </row>
    <row r="25" customFormat="false" ht="15.75" hidden="false" customHeight="true" outlineLevel="0" collapsed="false">
      <c r="A25" s="40" t="s">
        <v>123</v>
      </c>
      <c r="B25" s="40"/>
      <c r="C25" s="40"/>
      <c r="D25" s="40"/>
      <c r="E25" s="40"/>
      <c r="F25" s="40"/>
    </row>
    <row r="26" customFormat="false" ht="18" hidden="false" customHeight="true" outlineLevel="0" collapsed="false">
      <c r="A26" s="41"/>
      <c r="B26" s="41" t="s">
        <v>88</v>
      </c>
      <c r="C26" s="41" t="s">
        <v>89</v>
      </c>
      <c r="D26" s="41" t="s">
        <v>90</v>
      </c>
      <c r="E26" s="41" t="s">
        <v>91</v>
      </c>
      <c r="F26" s="41" t="s">
        <v>92</v>
      </c>
    </row>
    <row r="27" customFormat="false" ht="54" hidden="false" customHeight="true" outlineLevel="0" collapsed="false">
      <c r="A27" s="42" t="s">
        <v>124</v>
      </c>
      <c r="B27" s="43" t="s">
        <v>125</v>
      </c>
      <c r="C27" s="43" t="s">
        <v>126</v>
      </c>
      <c r="D27" s="43" t="s">
        <v>127</v>
      </c>
      <c r="E27" s="43" t="s">
        <v>128</v>
      </c>
      <c r="F27" s="43" t="s">
        <v>129</v>
      </c>
    </row>
    <row r="28" customFormat="false" ht="15.75" hidden="false" customHeight="true" outlineLevel="0" collapsed="false"/>
    <row r="29" customFormat="false" ht="19.5" hidden="false" customHeight="true" outlineLevel="0" collapsed="false">
      <c r="A29" s="11" t="s">
        <v>130</v>
      </c>
      <c r="B29" s="11"/>
      <c r="C29" s="11"/>
      <c r="D29" s="11"/>
      <c r="E29" s="11"/>
      <c r="F29" s="11"/>
    </row>
    <row r="30" customFormat="false" ht="25.5" hidden="false" customHeight="true" outlineLevel="0" collapsed="false">
      <c r="A30" s="7" t="s">
        <v>131</v>
      </c>
      <c r="B30" s="7"/>
      <c r="C30" s="7"/>
      <c r="D30" s="7"/>
      <c r="E30" s="7"/>
      <c r="F30" s="7"/>
    </row>
    <row r="31" customFormat="false" ht="25.5" hidden="false" customHeight="true" outlineLevel="0" collapsed="false">
      <c r="A31" s="7" t="s">
        <v>132</v>
      </c>
      <c r="B31" s="7"/>
      <c r="C31" s="7"/>
      <c r="D31" s="7"/>
      <c r="E31" s="7"/>
      <c r="F31" s="7"/>
    </row>
    <row r="32" customFormat="false" ht="25.5" hidden="false" customHeight="true" outlineLevel="0" collapsed="false">
      <c r="A32" s="7" t="s">
        <v>133</v>
      </c>
      <c r="B32" s="7"/>
      <c r="C32" s="7"/>
      <c r="D32" s="7"/>
      <c r="E32" s="7"/>
      <c r="F32" s="7"/>
    </row>
    <row r="33" customFormat="false" ht="25.5" hidden="false" customHeight="true" outlineLevel="0" collapsed="false">
      <c r="A33" s="7" t="s">
        <v>134</v>
      </c>
      <c r="B33" s="7"/>
      <c r="C33" s="7"/>
      <c r="D33" s="7"/>
      <c r="E33" s="7"/>
      <c r="F33" s="7"/>
    </row>
    <row r="34" customFormat="false" ht="25.5" hidden="false" customHeight="true" outlineLevel="0" collapsed="false">
      <c r="A34" s="7" t="s">
        <v>135</v>
      </c>
      <c r="B34" s="7"/>
      <c r="C34" s="7"/>
      <c r="D34" s="7"/>
      <c r="E34" s="7"/>
      <c r="F34" s="7"/>
    </row>
    <row r="35" customFormat="false" ht="25.5" hidden="false" customHeight="true" outlineLevel="0" collapsed="false">
      <c r="A35" s="7" t="s">
        <v>136</v>
      </c>
      <c r="B35" s="7"/>
      <c r="C35" s="7"/>
      <c r="D35" s="7"/>
      <c r="E35" s="7"/>
      <c r="F35" s="7"/>
    </row>
    <row r="36" customFormat="false" ht="25.5" hidden="false" customHeight="true" outlineLevel="0" collapsed="false">
      <c r="A36" s="7" t="s">
        <v>137</v>
      </c>
      <c r="B36" s="7"/>
      <c r="C36" s="7"/>
      <c r="D36" s="7"/>
      <c r="E36" s="7"/>
      <c r="F36" s="7"/>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0">
    <mergeCell ref="A1:F1"/>
    <mergeCell ref="A2:F2"/>
    <mergeCell ref="A4:F4"/>
    <mergeCell ref="A5:F5"/>
    <mergeCell ref="A9:F9"/>
    <mergeCell ref="A10:F10"/>
    <mergeCell ref="A14:F14"/>
    <mergeCell ref="A15:F15"/>
    <mergeCell ref="A19:F19"/>
    <mergeCell ref="A20:F20"/>
    <mergeCell ref="A24:F24"/>
    <mergeCell ref="A25:F25"/>
    <mergeCell ref="A29:F29"/>
    <mergeCell ref="A30:F30"/>
    <mergeCell ref="A31:F31"/>
    <mergeCell ref="A32:F32"/>
    <mergeCell ref="A33:F33"/>
    <mergeCell ref="A34:F34"/>
    <mergeCell ref="A35:F35"/>
    <mergeCell ref="A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4" min="3" style="0" width="12"/>
    <col collapsed="false" customWidth="true" hidden="false" outlineLevel="0" max="6" min="5" style="0" width="13"/>
    <col collapsed="false" customWidth="true" hidden="false" outlineLevel="0" max="7" min="7" style="0" width="52"/>
    <col collapsed="false" customWidth="true" hidden="false" outlineLevel="0" max="26" min="8" style="0" width="8.71"/>
  </cols>
  <sheetData>
    <row r="1" customFormat="false" ht="30" hidden="false" customHeight="true" outlineLevel="0" collapsed="false">
      <c r="A1" s="1" t="s">
        <v>138</v>
      </c>
      <c r="B1" s="1"/>
      <c r="C1" s="1"/>
      <c r="D1" s="1"/>
      <c r="E1" s="1"/>
      <c r="F1" s="1"/>
      <c r="G1" s="1"/>
    </row>
    <row r="2" customFormat="false" ht="19.5" hidden="false" customHeight="true" outlineLevel="0" collapsed="false">
      <c r="A2" s="2" t="s">
        <v>139</v>
      </c>
      <c r="B2" s="2"/>
      <c r="C2" s="2"/>
      <c r="D2" s="2"/>
      <c r="E2" s="2"/>
      <c r="F2" s="2"/>
      <c r="G2" s="2"/>
    </row>
    <row r="5" customFormat="false" ht="31.5" hidden="false" customHeight="true" outlineLevel="0" collapsed="false">
      <c r="A5" s="5"/>
      <c r="B5" s="5" t="s">
        <v>69</v>
      </c>
      <c r="C5" s="5" t="s">
        <v>140</v>
      </c>
      <c r="D5" s="5" t="s">
        <v>141</v>
      </c>
      <c r="E5" s="5" t="s">
        <v>142</v>
      </c>
      <c r="F5" s="5" t="s">
        <v>143</v>
      </c>
      <c r="G5" s="5" t="s">
        <v>144</v>
      </c>
    </row>
    <row r="6" customFormat="false" ht="31.5" hidden="false" customHeight="true" outlineLevel="0" collapsed="false">
      <c r="B6" s="44" t="s">
        <v>145</v>
      </c>
      <c r="C6" s="45" t="n">
        <v>5</v>
      </c>
      <c r="D6" s="45" t="n">
        <v>11.5</v>
      </c>
      <c r="E6" s="46" t="n">
        <v>500</v>
      </c>
      <c r="F6" s="46" t="n">
        <v>1500</v>
      </c>
      <c r="G6" s="47" t="s">
        <v>146</v>
      </c>
    </row>
    <row r="7" customFormat="false" ht="31.5" hidden="false" customHeight="true" outlineLevel="0" collapsed="false">
      <c r="B7" s="48" t="s">
        <v>147</v>
      </c>
      <c r="C7" s="45" t="n">
        <v>11.5</v>
      </c>
      <c r="D7" s="45" t="n">
        <v>17.5</v>
      </c>
      <c r="E7" s="46" t="n">
        <v>1500</v>
      </c>
      <c r="F7" s="46" t="n">
        <v>4000</v>
      </c>
      <c r="G7" s="49" t="s">
        <v>148</v>
      </c>
    </row>
    <row r="8" customFormat="false" ht="31.5" hidden="false" customHeight="true" outlineLevel="0" collapsed="false">
      <c r="B8" s="50" t="s">
        <v>149</v>
      </c>
      <c r="C8" s="45" t="n">
        <v>17.5</v>
      </c>
      <c r="D8" s="45" t="n">
        <v>22.5</v>
      </c>
      <c r="E8" s="46" t="n">
        <v>4000</v>
      </c>
      <c r="F8" s="46" t="n">
        <v>10000</v>
      </c>
      <c r="G8" s="51" t="s">
        <v>150</v>
      </c>
    </row>
    <row r="9" customFormat="false" ht="31.5" hidden="false" customHeight="true" outlineLevel="0" collapsed="false">
      <c r="B9" s="52" t="s">
        <v>151</v>
      </c>
      <c r="C9" s="45" t="n">
        <v>22.5</v>
      </c>
      <c r="D9" s="45" t="n">
        <v>25</v>
      </c>
      <c r="E9" s="46" t="n">
        <v>10000</v>
      </c>
      <c r="F9" s="46" t="n">
        <v>25000</v>
      </c>
      <c r="G9" s="53" t="s">
        <v>152</v>
      </c>
    </row>
    <row r="11" customFormat="false" ht="30" hidden="false" customHeight="true" outlineLevel="0" collapsed="false">
      <c r="B11" s="40" t="s">
        <v>153</v>
      </c>
      <c r="C11" s="40"/>
      <c r="D11" s="40"/>
      <c r="E11" s="40"/>
      <c r="F11" s="40"/>
      <c r="G11" s="40"/>
    </row>
    <row r="13" customFormat="false" ht="19.5" hidden="false" customHeight="true" outlineLevel="0" collapsed="false">
      <c r="A13" s="3" t="s">
        <v>154</v>
      </c>
      <c r="B13" s="3"/>
      <c r="C13" s="3"/>
      <c r="D13" s="3"/>
      <c r="E13" s="3"/>
      <c r="F13" s="3"/>
      <c r="G13" s="3"/>
    </row>
    <row r="14" customFormat="false" ht="25.5" hidden="false" customHeight="true" outlineLevel="0" collapsed="false">
      <c r="B14" s="54" t="s">
        <v>155</v>
      </c>
      <c r="C14" s="17" t="n">
        <v>0.15</v>
      </c>
      <c r="D14" s="20" t="s">
        <v>156</v>
      </c>
      <c r="E14" s="20"/>
      <c r="F14" s="20"/>
      <c r="G14" s="20"/>
    </row>
    <row r="15" customFormat="false" ht="25.5" hidden="false" customHeight="true" outlineLevel="0" collapsed="false">
      <c r="B15" s="54" t="s">
        <v>157</v>
      </c>
      <c r="C15" s="17" t="n">
        <v>0.07</v>
      </c>
      <c r="D15" s="20" t="s">
        <v>158</v>
      </c>
      <c r="E15" s="20"/>
      <c r="F15" s="20"/>
      <c r="G15" s="20"/>
    </row>
    <row r="16" customFormat="false" ht="25.5" hidden="false" customHeight="true" outlineLevel="0" collapsed="false">
      <c r="B16" s="54" t="s">
        <v>159</v>
      </c>
      <c r="C16" s="17" t="n">
        <v>0.03</v>
      </c>
      <c r="D16" s="20" t="s">
        <v>160</v>
      </c>
      <c r="E16" s="20"/>
      <c r="F16" s="20"/>
      <c r="G16" s="20"/>
    </row>
    <row r="17" customFormat="false" ht="25.5" hidden="false" customHeight="true" outlineLevel="0" collapsed="false">
      <c r="B17" s="54" t="s">
        <v>161</v>
      </c>
      <c r="C17" s="55" t="n">
        <v>6000</v>
      </c>
      <c r="D17" s="20" t="s">
        <v>162</v>
      </c>
      <c r="E17" s="20"/>
      <c r="F17" s="20"/>
      <c r="G17" s="20"/>
    </row>
    <row r="19" customFormat="false" ht="19.5" hidden="false" customHeight="true" outlineLevel="0" collapsed="false">
      <c r="A19" s="11" t="s">
        <v>163</v>
      </c>
      <c r="B19" s="11"/>
      <c r="C19" s="11"/>
      <c r="D19" s="11"/>
      <c r="E19" s="11"/>
      <c r="F19" s="11"/>
      <c r="G19" s="11"/>
    </row>
    <row r="20" customFormat="false" ht="27.75" hidden="false" customHeight="true" outlineLevel="0" collapsed="false">
      <c r="B20" s="7" t="s">
        <v>164</v>
      </c>
      <c r="C20" s="7"/>
      <c r="D20" s="7"/>
      <c r="E20" s="7"/>
      <c r="F20" s="7"/>
      <c r="G20" s="7"/>
    </row>
    <row r="21" customFormat="false" ht="27.75" hidden="false" customHeight="true" outlineLevel="0" collapsed="false">
      <c r="B21" s="7" t="s">
        <v>165</v>
      </c>
      <c r="C21" s="7"/>
      <c r="D21" s="7"/>
      <c r="E21" s="7"/>
      <c r="F21" s="7"/>
      <c r="G21" s="7"/>
    </row>
    <row r="22" customFormat="false" ht="27.75" hidden="false" customHeight="true" outlineLevel="0" collapsed="false">
      <c r="B22" s="7" t="s">
        <v>166</v>
      </c>
      <c r="C22" s="7"/>
      <c r="D22" s="7"/>
      <c r="E22" s="7"/>
      <c r="F22" s="7"/>
      <c r="G22" s="7"/>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2">
    <mergeCell ref="A1:G1"/>
    <mergeCell ref="A2:G2"/>
    <mergeCell ref="B11:G11"/>
    <mergeCell ref="A13:G13"/>
    <mergeCell ref="D14:G14"/>
    <mergeCell ref="D15:G15"/>
    <mergeCell ref="D16:G16"/>
    <mergeCell ref="D17:G17"/>
    <mergeCell ref="A19:G19"/>
    <mergeCell ref="B20:G20"/>
    <mergeCell ref="B21:G21"/>
    <mergeCell ref="B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5" min="3" style="0" width="14"/>
    <col collapsed="false" customWidth="true" hidden="false" outlineLevel="0" max="6" min="6" style="0" width="46"/>
    <col collapsed="false" customWidth="true" hidden="false" outlineLevel="0" max="7" min="7" style="0" width="8.71"/>
    <col collapsed="false" customWidth="true" hidden="false" outlineLevel="0" max="11" min="8" style="0" width="7"/>
    <col collapsed="false" customWidth="true" hidden="false" outlineLevel="0" max="26" min="12" style="0" width="8.71"/>
  </cols>
  <sheetData>
    <row r="1" customFormat="false" ht="30" hidden="false" customHeight="true" outlineLevel="0" collapsed="false">
      <c r="A1" s="1" t="s">
        <v>167</v>
      </c>
      <c r="B1" s="1"/>
      <c r="C1" s="1"/>
      <c r="D1" s="1"/>
      <c r="E1" s="1"/>
      <c r="F1" s="1"/>
    </row>
    <row r="2" customFormat="false" ht="19.5" hidden="false" customHeight="true" outlineLevel="0" collapsed="false">
      <c r="A2" s="2" t="s">
        <v>168</v>
      </c>
      <c r="B2" s="2"/>
      <c r="C2" s="2"/>
      <c r="D2" s="2"/>
      <c r="E2" s="2"/>
      <c r="F2" s="2"/>
    </row>
    <row r="4" customFormat="false" ht="19.5" hidden="false" customHeight="true" outlineLevel="0" collapsed="false">
      <c r="A4" s="3" t="s">
        <v>169</v>
      </c>
      <c r="B4" s="3"/>
      <c r="C4" s="3"/>
      <c r="D4" s="3"/>
      <c r="E4" s="3"/>
      <c r="F4" s="3"/>
    </row>
    <row r="5" customFormat="false" ht="15" hidden="false" customHeight="true" outlineLevel="0" collapsed="false">
      <c r="B5" s="54" t="s">
        <v>170</v>
      </c>
      <c r="C5" s="56" t="n">
        <f aca="false">'Ballpark Estimator'!$H$37</f>
        <v>5</v>
      </c>
      <c r="D5" s="20" t="s">
        <v>171</v>
      </c>
      <c r="E5" s="20"/>
      <c r="F5" s="20"/>
    </row>
    <row r="6" customFormat="false" ht="15" hidden="false" customHeight="false" outlineLevel="0" collapsed="false">
      <c r="B6" s="6" t="s">
        <v>172</v>
      </c>
      <c r="C6" s="57" t="n">
        <f aca="false">'Ballpark Estimator'!$J$37</f>
        <v>16211.53846</v>
      </c>
    </row>
    <row r="8" customFormat="false" ht="19.5" hidden="false" customHeight="true" outlineLevel="0" collapsed="false">
      <c r="A8" s="3" t="s">
        <v>173</v>
      </c>
      <c r="B8" s="3"/>
      <c r="C8" s="3"/>
      <c r="D8" s="3"/>
      <c r="E8" s="3"/>
      <c r="F8" s="3"/>
    </row>
    <row r="9" customFormat="false" ht="27.75" hidden="false" customHeight="true" outlineLevel="0" collapsed="false">
      <c r="B9" s="40" t="s">
        <v>174</v>
      </c>
      <c r="C9" s="40"/>
      <c r="D9" s="40"/>
      <c r="E9" s="40"/>
      <c r="F9" s="40"/>
    </row>
    <row r="10" customFormat="false" ht="31.5" hidden="false" customHeight="true" outlineLevel="0" collapsed="false">
      <c r="A10" s="5"/>
      <c r="B10" s="5" t="s">
        <v>175</v>
      </c>
      <c r="C10" s="5" t="s">
        <v>176</v>
      </c>
      <c r="D10" s="5" t="s">
        <v>177</v>
      </c>
      <c r="E10" s="5"/>
      <c r="F10" s="5" t="s">
        <v>178</v>
      </c>
      <c r="H10" s="58" t="s">
        <v>179</v>
      </c>
      <c r="I10" s="58" t="s">
        <v>180</v>
      </c>
      <c r="J10" s="58" t="s">
        <v>181</v>
      </c>
      <c r="K10" s="58" t="s">
        <v>182</v>
      </c>
    </row>
    <row r="11" customFormat="false" ht="21.75" hidden="false" customHeight="true" outlineLevel="0" collapsed="false">
      <c r="B11" s="54" t="s">
        <v>183</v>
      </c>
      <c r="C11" s="22" t="n">
        <v>2</v>
      </c>
      <c r="D11" s="59" t="n">
        <f aca="false">IFERROR(INDEX($H11:$K11,$C11),1)</f>
        <v>1.1</v>
      </c>
      <c r="F11" s="60" t="s">
        <v>184</v>
      </c>
      <c r="H11" s="61" t="n">
        <v>1</v>
      </c>
      <c r="I11" s="61" t="n">
        <v>1.1</v>
      </c>
      <c r="J11" s="61" t="n">
        <v>1.2</v>
      </c>
      <c r="K11" s="61" t="n">
        <v>1.45</v>
      </c>
    </row>
    <row r="12" customFormat="false" ht="21.75" hidden="false" customHeight="true" outlineLevel="0" collapsed="false">
      <c r="B12" s="54" t="s">
        <v>185</v>
      </c>
      <c r="C12" s="22" t="n">
        <v>1</v>
      </c>
      <c r="D12" s="59" t="n">
        <f aca="false">IFERROR(INDEX($H12:$K12,$C12),1)</f>
        <v>1</v>
      </c>
      <c r="F12" s="60" t="s">
        <v>186</v>
      </c>
      <c r="H12" s="61" t="n">
        <v>1</v>
      </c>
      <c r="I12" s="61" t="n">
        <v>1.15</v>
      </c>
      <c r="J12" s="61" t="n">
        <v>1.35</v>
      </c>
      <c r="K12" s="61" t="n">
        <v>1.35</v>
      </c>
    </row>
    <row r="13" customFormat="false" ht="21.75" hidden="false" customHeight="true" outlineLevel="0" collapsed="false">
      <c r="B13" s="54" t="s">
        <v>187</v>
      </c>
      <c r="C13" s="22" t="n">
        <v>3</v>
      </c>
      <c r="D13" s="59" t="n">
        <f aca="false">IFERROR(INDEX($H13:$K13,$C13),1)</f>
        <v>1.2</v>
      </c>
      <c r="F13" s="60" t="s">
        <v>188</v>
      </c>
      <c r="H13" s="61" t="n">
        <v>0.95</v>
      </c>
      <c r="I13" s="61" t="n">
        <v>1</v>
      </c>
      <c r="J13" s="61" t="n">
        <v>1.2</v>
      </c>
      <c r="K13" s="61" t="n">
        <v>1.45</v>
      </c>
    </row>
    <row r="14" customFormat="false" ht="21.75" hidden="false" customHeight="true" outlineLevel="0" collapsed="false">
      <c r="B14" s="54" t="s">
        <v>189</v>
      </c>
      <c r="C14" s="22" t="n">
        <v>1</v>
      </c>
      <c r="D14" s="59" t="n">
        <f aca="false">IFERROR(INDEX($H14:$K14,$C14),1)</f>
        <v>1</v>
      </c>
      <c r="F14" s="60" t="s">
        <v>190</v>
      </c>
      <c r="H14" s="61" t="n">
        <v>1</v>
      </c>
      <c r="I14" s="61" t="n">
        <v>1.15</v>
      </c>
      <c r="J14" s="61" t="n">
        <v>1.4</v>
      </c>
      <c r="K14" s="61" t="n">
        <v>1.4</v>
      </c>
    </row>
    <row r="15" customFormat="false" ht="21.75" hidden="false" customHeight="true" outlineLevel="0" collapsed="false">
      <c r="B15" s="54" t="s">
        <v>191</v>
      </c>
      <c r="C15" s="22" t="n">
        <v>2</v>
      </c>
      <c r="D15" s="59" t="n">
        <f aca="false">IFERROR(INDEX($H15:$K15,$C15),1)</f>
        <v>1.1</v>
      </c>
      <c r="F15" s="60" t="s">
        <v>192</v>
      </c>
      <c r="H15" s="61" t="n">
        <v>1</v>
      </c>
      <c r="I15" s="61" t="n">
        <v>1.1</v>
      </c>
      <c r="J15" s="61" t="n">
        <v>1.25</v>
      </c>
      <c r="K15" s="61" t="n">
        <v>1.4</v>
      </c>
    </row>
    <row r="16" customFormat="false" ht="15" hidden="false" customHeight="false" outlineLevel="0" collapsed="false">
      <c r="B16" s="6" t="s">
        <v>193</v>
      </c>
      <c r="D16" s="62" t="n">
        <f aca="false">MIN($C17,1+SUM($D$11:$D$15)-COUNT($D$11:$D$15))</f>
        <v>1.4</v>
      </c>
      <c r="F16" s="63" t="s">
        <v>194</v>
      </c>
    </row>
    <row r="17" customFormat="false" ht="19.4" hidden="false" customHeight="false" outlineLevel="0" collapsed="false">
      <c r="B17" s="54" t="s">
        <v>195</v>
      </c>
      <c r="C17" s="64" t="n">
        <v>2.5</v>
      </c>
      <c r="F17" s="63" t="s">
        <v>196</v>
      </c>
    </row>
    <row r="19" customFormat="false" ht="19.5" hidden="false" customHeight="true" outlineLevel="0" collapsed="false">
      <c r="A19" s="3" t="s">
        <v>197</v>
      </c>
      <c r="B19" s="3"/>
      <c r="C19" s="3"/>
      <c r="D19" s="3"/>
      <c r="E19" s="3"/>
      <c r="F19" s="3"/>
    </row>
    <row r="20" customFormat="false" ht="15" hidden="false" customHeight="false" outlineLevel="0" collapsed="false">
      <c r="B20" s="6" t="s">
        <v>198</v>
      </c>
      <c r="C20" s="65" t="n">
        <f aca="false">$C$6*$D$16</f>
        <v>22696.15385</v>
      </c>
      <c r="F20" s="63" t="s">
        <v>199</v>
      </c>
    </row>
    <row r="21" customFormat="false" ht="15.75" hidden="false" customHeight="true" outlineLevel="0" collapsed="false"/>
    <row r="22" customFormat="false" ht="19.5" hidden="false" customHeight="true" outlineLevel="0" collapsed="false">
      <c r="A22" s="3" t="s">
        <v>200</v>
      </c>
      <c r="B22" s="3"/>
      <c r="C22" s="3"/>
      <c r="D22" s="3"/>
      <c r="E22" s="3"/>
      <c r="F22" s="3"/>
    </row>
    <row r="23" customFormat="false" ht="19.5" hidden="false" customHeight="true" outlineLevel="0" collapsed="false">
      <c r="A23" s="5"/>
      <c r="B23" s="5" t="s">
        <v>201</v>
      </c>
      <c r="C23" s="5" t="s">
        <v>202</v>
      </c>
      <c r="D23" s="5" t="s">
        <v>203</v>
      </c>
      <c r="E23" s="5"/>
      <c r="F23" s="5" t="s">
        <v>204</v>
      </c>
    </row>
    <row r="24" customFormat="false" ht="25.5" hidden="false" customHeight="true" outlineLevel="0" collapsed="false">
      <c r="B24" s="54" t="s">
        <v>205</v>
      </c>
      <c r="C24" s="17" t="n">
        <v>0.12</v>
      </c>
      <c r="D24" s="66" t="n">
        <f aca="false">$C$20*$C24</f>
        <v>2723.538462</v>
      </c>
      <c r="F24" s="60" t="s">
        <v>206</v>
      </c>
    </row>
    <row r="25" customFormat="false" ht="25.5" hidden="false" customHeight="true" outlineLevel="0" collapsed="false">
      <c r="B25" s="54" t="s">
        <v>207</v>
      </c>
      <c r="C25" s="17" t="n">
        <v>0.06</v>
      </c>
      <c r="D25" s="66" t="n">
        <f aca="false">$C$20*$C25</f>
        <v>1361.769231</v>
      </c>
      <c r="F25" s="60" t="s">
        <v>208</v>
      </c>
    </row>
    <row r="26" customFormat="false" ht="25.5" hidden="false" customHeight="true" outlineLevel="0" collapsed="false">
      <c r="B26" s="54" t="s">
        <v>209</v>
      </c>
      <c r="C26" s="17" t="n">
        <v>0.08</v>
      </c>
      <c r="D26" s="66" t="n">
        <f aca="false">$C$20*$C26</f>
        <v>1815.692308</v>
      </c>
      <c r="F26" s="60" t="s">
        <v>210</v>
      </c>
    </row>
    <row r="27" customFormat="false" ht="25.5" hidden="false" customHeight="true" outlineLevel="0" collapsed="false">
      <c r="B27" s="54" t="s">
        <v>211</v>
      </c>
      <c r="C27" s="17" t="n">
        <v>0.08</v>
      </c>
      <c r="D27" s="66" t="n">
        <f aca="false">$C$20*$C27</f>
        <v>1815.692308</v>
      </c>
      <c r="F27" s="60" t="s">
        <v>212</v>
      </c>
    </row>
    <row r="28" customFormat="false" ht="25.5" hidden="false" customHeight="true" outlineLevel="0" collapsed="false">
      <c r="B28" s="54" t="s">
        <v>213</v>
      </c>
      <c r="C28" s="17" t="n">
        <v>0.05</v>
      </c>
      <c r="D28" s="66" t="n">
        <f aca="false">$C$20*$C28</f>
        <v>1134.8076925</v>
      </c>
      <c r="F28" s="60" t="s">
        <v>214</v>
      </c>
    </row>
    <row r="29" customFormat="false" ht="25.5" hidden="false" customHeight="true" outlineLevel="0" collapsed="false">
      <c r="B29" s="54" t="s">
        <v>215</v>
      </c>
      <c r="C29" s="17" t="n">
        <v>0.03</v>
      </c>
      <c r="D29" s="66" t="n">
        <f aca="false">$C$20*$C29</f>
        <v>680.8846155</v>
      </c>
      <c r="F29" s="60" t="s">
        <v>216</v>
      </c>
    </row>
    <row r="30" customFormat="false" ht="25.5" hidden="false" customHeight="true" outlineLevel="0" collapsed="false">
      <c r="B30" s="54" t="s">
        <v>217</v>
      </c>
      <c r="C30" s="17" t="n">
        <v>0.1</v>
      </c>
      <c r="D30" s="66" t="n">
        <f aca="false">$C$20*$C30</f>
        <v>2269.615385</v>
      </c>
      <c r="F30" s="60" t="s">
        <v>218</v>
      </c>
    </row>
    <row r="31" customFormat="false" ht="25.5" hidden="false" customHeight="true" outlineLevel="0" collapsed="false">
      <c r="B31" s="54" t="s">
        <v>219</v>
      </c>
      <c r="C31" s="67" t="n">
        <f aca="false">MIN($C32,$C33*$C$5)</f>
        <v>0.1</v>
      </c>
      <c r="D31" s="66" t="n">
        <f aca="false">$C$20*$C31</f>
        <v>2269.615385</v>
      </c>
      <c r="F31" s="60" t="s">
        <v>220</v>
      </c>
    </row>
    <row r="32" customFormat="false" ht="15.75" hidden="false" customHeight="true" outlineLevel="0" collapsed="false">
      <c r="B32" s="63" t="s">
        <v>221</v>
      </c>
      <c r="C32" s="17" t="n">
        <v>0.25</v>
      </c>
    </row>
    <row r="33" customFormat="false" ht="15.75" hidden="false" customHeight="true" outlineLevel="0" collapsed="false">
      <c r="B33" s="63" t="s">
        <v>222</v>
      </c>
      <c r="C33" s="17" t="n">
        <v>0.02</v>
      </c>
    </row>
    <row r="34" customFormat="false" ht="15.75" hidden="false" customHeight="true" outlineLevel="0" collapsed="false">
      <c r="B34" s="6" t="s">
        <v>223</v>
      </c>
      <c r="C34" s="18" t="n">
        <f aca="false">SUM($C$24:$C$31)</f>
        <v>0.62</v>
      </c>
      <c r="D34" s="65" t="n">
        <f aca="false">SUM($D$24:$D$31)</f>
        <v>14071.61538</v>
      </c>
    </row>
    <row r="35" customFormat="false" ht="15.75" hidden="false" customHeight="true" outlineLevel="0" collapsed="false"/>
    <row r="36" customFormat="false" ht="19.5" hidden="false" customHeight="true" outlineLevel="0" collapsed="false">
      <c r="A36" s="3" t="s">
        <v>224</v>
      </c>
      <c r="B36" s="3"/>
      <c r="C36" s="3"/>
      <c r="D36" s="3"/>
      <c r="E36" s="3"/>
      <c r="F36" s="3"/>
    </row>
    <row r="37" customFormat="false" ht="15.75" hidden="false" customHeight="true" outlineLevel="0" collapsed="false">
      <c r="B37" s="54" t="s">
        <v>225</v>
      </c>
      <c r="C37" s="68" t="n">
        <f aca="false">IFERROR(AVERAGEIF('Ballpark Estimator'!$B$7:$B$36,"?*",'Ballpark Estimator'!$F$7:$F$36),0)</f>
        <v>2.6</v>
      </c>
    </row>
    <row r="38" customFormat="false" ht="15.75" hidden="false" customHeight="true" outlineLevel="0" collapsed="false">
      <c r="B38" s="54" t="s">
        <v>226</v>
      </c>
      <c r="C38" s="68" t="n">
        <f aca="false">IFERROR(AVERAGEIF('Ballpark Estimator'!$B$7:$B$36,"?*",'Ballpark Estimator'!$G$7:$G$36),0)</f>
        <v>2.8</v>
      </c>
    </row>
    <row r="39" customFormat="false" ht="15.75" hidden="false" customHeight="true" outlineLevel="0" collapsed="false">
      <c r="B39" s="54" t="s">
        <v>227</v>
      </c>
      <c r="C39" s="17" t="n">
        <v>0.05</v>
      </c>
    </row>
    <row r="40" customFormat="false" ht="15.75" hidden="false" customHeight="true" outlineLevel="0" collapsed="false">
      <c r="B40" s="54" t="s">
        <v>228</v>
      </c>
      <c r="C40" s="17" t="n">
        <v>0.02</v>
      </c>
    </row>
    <row r="41" customFormat="false" ht="15.75" hidden="false" customHeight="true" outlineLevel="0" collapsed="false">
      <c r="B41" s="54" t="s">
        <v>229</v>
      </c>
      <c r="C41" s="17" t="n">
        <v>0.02</v>
      </c>
    </row>
    <row r="42" customFormat="false" ht="25.5" hidden="false" customHeight="true" outlineLevel="0" collapsed="false">
      <c r="B42" s="6" t="s">
        <v>230</v>
      </c>
      <c r="C42" s="18" t="n">
        <f aca="false">$C$39+$C$37*$C$40+$C$38*$C$41</f>
        <v>0.158</v>
      </c>
      <c r="D42" s="65" t="n">
        <f aca="false">($C$20+$D$34)*$C42</f>
        <v>5809.307538</v>
      </c>
      <c r="F42" s="63" t="s">
        <v>231</v>
      </c>
    </row>
    <row r="43" customFormat="false" ht="15.75" hidden="false" customHeight="true" outlineLevel="0" collapsed="false"/>
    <row r="44" customFormat="false" ht="19.5" hidden="false" customHeight="true" outlineLevel="0" collapsed="false">
      <c r="A44" s="69" t="s">
        <v>232</v>
      </c>
      <c r="B44" s="69"/>
      <c r="C44" s="69"/>
      <c r="D44" s="69"/>
      <c r="E44" s="69"/>
      <c r="F44" s="69"/>
    </row>
    <row r="45" customFormat="false" ht="15.75" hidden="false" customHeight="true" outlineLevel="0" collapsed="false">
      <c r="B45" s="54" t="s">
        <v>233</v>
      </c>
      <c r="C45" s="66" t="n">
        <f aca="false">$C$20</f>
        <v>22696.15385</v>
      </c>
    </row>
    <row r="46" customFormat="false" ht="15.75" hidden="false" customHeight="true" outlineLevel="0" collapsed="false">
      <c r="B46" s="54" t="s">
        <v>234</v>
      </c>
      <c r="C46" s="66" t="n">
        <f aca="false">$D$34</f>
        <v>14071.61538</v>
      </c>
    </row>
    <row r="47" customFormat="false" ht="15.75" hidden="false" customHeight="true" outlineLevel="0" collapsed="false">
      <c r="B47" s="54" t="s">
        <v>235</v>
      </c>
      <c r="C47" s="66" t="n">
        <f aca="false">$D$42</f>
        <v>5809.307538</v>
      </c>
    </row>
    <row r="48" customFormat="false" ht="15.75" hidden="false" customHeight="true" outlineLevel="0" collapsed="false">
      <c r="B48" s="70" t="s">
        <v>236</v>
      </c>
      <c r="C48" s="71" t="n">
        <f aca="false">$C$45+$C$46+$C$47</f>
        <v>42577.07677</v>
      </c>
    </row>
    <row r="49" customFormat="false" ht="15.75" hidden="false" customHeight="true" outlineLevel="0" collapsed="false"/>
    <row r="50" customFormat="false" ht="24" hidden="false" customHeight="true" outlineLevel="0" collapsed="false">
      <c r="B50" s="54" t="s">
        <v>237</v>
      </c>
      <c r="C50" s="66" t="n">
        <f aca="false">SQRT(SUMPRODUCT(('Ballpark Estimator'!$J$7:$J$36*'Ballpark Estimator'!$K$7:$K$36)^2))</f>
        <v>3515.154876</v>
      </c>
      <c r="F50" s="63" t="s">
        <v>238</v>
      </c>
    </row>
    <row r="51" customFormat="false" ht="15.75" hidden="false" customHeight="true" outlineLevel="0" collapsed="false">
      <c r="B51" s="54" t="s">
        <v>239</v>
      </c>
      <c r="C51" s="66" t="n">
        <f aca="false">IF($C$6=0,0,$C$50*$C$48/$C$6)</f>
        <v>9232.005917</v>
      </c>
    </row>
    <row r="52" customFormat="false" ht="15.75" hidden="false" customHeight="true" outlineLevel="0" collapsed="false">
      <c r="B52" s="54" t="s">
        <v>240</v>
      </c>
      <c r="C52" s="66" t="n">
        <f aca="false">$C$48-0.84*$C$51</f>
        <v>34822.1918</v>
      </c>
    </row>
    <row r="53" customFormat="false" ht="15.75" hidden="false" customHeight="true" outlineLevel="0" collapsed="false">
      <c r="B53" s="6" t="s">
        <v>241</v>
      </c>
      <c r="C53" s="72" t="n">
        <f aca="false">$C$48+0.84*$C$51</f>
        <v>50331.96174</v>
      </c>
    </row>
    <row r="54" customFormat="false" ht="15.75" hidden="false" customHeight="true" outlineLevel="0" collapsed="false">
      <c r="B54" s="54" t="s">
        <v>242</v>
      </c>
      <c r="C54" s="66" t="n">
        <f aca="false">$C$48+1.645*$C$51</f>
        <v>57763.7265</v>
      </c>
    </row>
    <row r="55" customFormat="false" ht="15.75" hidden="false" customHeight="true" outlineLevel="0" collapsed="false">
      <c r="B55" s="54" t="s">
        <v>243</v>
      </c>
      <c r="C55" s="55" t="n">
        <v>500</v>
      </c>
    </row>
    <row r="56" customFormat="false" ht="15.75" hidden="false" customHeight="true" outlineLevel="0" collapsed="false">
      <c r="B56" s="70" t="s">
        <v>244</v>
      </c>
      <c r="C56" s="73" t="n">
        <f aca="false">CEILING($C$48,$C$55)</f>
        <v>43000</v>
      </c>
      <c r="D56" s="73" t="n">
        <f aca="false">CEILING($C$54,$C$55)</f>
        <v>58000</v>
      </c>
      <c r="F56" s="74" t="s">
        <v>245</v>
      </c>
    </row>
    <row r="57" customFormat="false" ht="15.75" hidden="false" customHeight="true" outlineLevel="0" collapsed="false">
      <c r="B57" s="6" t="s">
        <v>246</v>
      </c>
      <c r="C57" s="72" t="n">
        <f aca="false">CEILING($C$53,$C$55)</f>
        <v>50500</v>
      </c>
    </row>
    <row r="58" customFormat="false" ht="25.5" hidden="false" customHeight="true" outlineLevel="0" collapsed="false">
      <c r="B58" s="54" t="s">
        <v>247</v>
      </c>
      <c r="C58" s="75" t="n">
        <f aca="false">IF($C$48=0,0,$C$51/$C$48)</f>
        <v>0.2168304312</v>
      </c>
      <c r="F58" s="63" t="s">
        <v>248</v>
      </c>
    </row>
    <row r="59" customFormat="false" ht="15.75" hidden="false" customHeight="true" outlineLevel="0" collapsed="false"/>
    <row r="60" customFormat="false" ht="19.5" hidden="false" customHeight="true" outlineLevel="0" collapsed="false">
      <c r="A60" s="3" t="s">
        <v>249</v>
      </c>
      <c r="B60" s="3"/>
      <c r="C60" s="3"/>
      <c r="D60" s="3"/>
      <c r="E60" s="3"/>
      <c r="F60" s="3"/>
    </row>
    <row r="61" customFormat="false" ht="18" hidden="false" customHeight="true" outlineLevel="0" collapsed="false">
      <c r="B61" s="76" t="s">
        <v>250</v>
      </c>
      <c r="C61" s="76"/>
      <c r="D61" s="76"/>
      <c r="E61" s="76"/>
      <c r="F61" s="76"/>
    </row>
    <row r="62" customFormat="false" ht="18" hidden="false" customHeight="true" outlineLevel="0" collapsed="false">
      <c r="B62" s="76" t="s">
        <v>251</v>
      </c>
      <c r="C62" s="76"/>
      <c r="D62" s="76"/>
      <c r="E62" s="76"/>
      <c r="F62" s="76"/>
    </row>
    <row r="63" customFormat="false" ht="18" hidden="false" customHeight="true" outlineLevel="0" collapsed="false">
      <c r="B63" s="76" t="s">
        <v>252</v>
      </c>
      <c r="C63" s="76"/>
      <c r="D63" s="76"/>
      <c r="E63" s="76"/>
      <c r="F63" s="76"/>
    </row>
    <row r="64" customFormat="false" ht="18" hidden="false" customHeight="true" outlineLevel="0" collapsed="false">
      <c r="B64" s="76" t="s">
        <v>253</v>
      </c>
      <c r="C64" s="76"/>
      <c r="D64" s="76"/>
      <c r="E64" s="76"/>
      <c r="F64" s="76"/>
    </row>
    <row r="65" customFormat="false" ht="18" hidden="false" customHeight="true" outlineLevel="0" collapsed="false">
      <c r="B65" s="76" t="s">
        <v>254</v>
      </c>
      <c r="C65" s="76"/>
      <c r="D65" s="76"/>
      <c r="E65" s="76"/>
      <c r="F65" s="76"/>
    </row>
    <row r="66" customFormat="false" ht="18" hidden="false" customHeight="true" outlineLevel="0" collapsed="false">
      <c r="B66" s="76"/>
      <c r="C66" s="76"/>
      <c r="D66" s="76"/>
      <c r="E66" s="76"/>
      <c r="F66" s="76"/>
    </row>
    <row r="67" customFormat="false" ht="18" hidden="false" customHeight="true" outlineLevel="0" collapsed="false">
      <c r="B67" s="76"/>
      <c r="C67" s="76"/>
      <c r="D67" s="76"/>
      <c r="E67" s="76"/>
      <c r="F67" s="76"/>
    </row>
    <row r="68" customFormat="false" ht="15.75" hidden="false" customHeight="true" outlineLevel="0" collapsed="false"/>
    <row r="69" customFormat="false" ht="19.5" hidden="false" customHeight="true" outlineLevel="0" collapsed="false">
      <c r="A69" s="3" t="s">
        <v>255</v>
      </c>
      <c r="B69" s="3"/>
      <c r="C69" s="3"/>
      <c r="D69" s="3"/>
      <c r="E69" s="3"/>
      <c r="F69" s="3"/>
    </row>
    <row r="70" customFormat="false" ht="18" hidden="false" customHeight="true" outlineLevel="0" collapsed="false">
      <c r="B70" s="76" t="s">
        <v>256</v>
      </c>
      <c r="C70" s="76"/>
      <c r="D70" s="76"/>
      <c r="E70" s="76"/>
      <c r="F70" s="76"/>
    </row>
    <row r="71" customFormat="false" ht="18" hidden="false" customHeight="true" outlineLevel="0" collapsed="false">
      <c r="B71" s="76" t="s">
        <v>257</v>
      </c>
      <c r="C71" s="76"/>
      <c r="D71" s="76"/>
      <c r="E71" s="76"/>
      <c r="F71" s="76"/>
    </row>
    <row r="72" customFormat="false" ht="18" hidden="false" customHeight="true" outlineLevel="0" collapsed="false">
      <c r="B72" s="76" t="s">
        <v>258</v>
      </c>
      <c r="C72" s="76"/>
      <c r="D72" s="76"/>
      <c r="E72" s="76"/>
      <c r="F72" s="76"/>
    </row>
    <row r="73" customFormat="false" ht="18" hidden="false" customHeight="true" outlineLevel="0" collapsed="false">
      <c r="B73" s="76" t="s">
        <v>259</v>
      </c>
      <c r="C73" s="76"/>
      <c r="D73" s="76"/>
      <c r="E73" s="76"/>
      <c r="F73" s="76"/>
    </row>
    <row r="74" customFormat="false" ht="18" hidden="false" customHeight="true" outlineLevel="0" collapsed="false">
      <c r="B74" s="76" t="s">
        <v>260</v>
      </c>
      <c r="C74" s="76"/>
      <c r="D74" s="76"/>
      <c r="E74" s="76"/>
      <c r="F74" s="76"/>
    </row>
    <row r="75" customFormat="false" ht="18" hidden="false" customHeight="true" outlineLevel="0" collapsed="false">
      <c r="B75" s="76" t="s">
        <v>261</v>
      </c>
      <c r="C75" s="76"/>
      <c r="D75" s="76"/>
      <c r="E75" s="76"/>
      <c r="F75" s="76"/>
    </row>
    <row r="76" customFormat="false" ht="18" hidden="false" customHeight="true" outlineLevel="0" collapsed="false">
      <c r="B76" s="76" t="s">
        <v>262</v>
      </c>
      <c r="C76" s="76"/>
      <c r="D76" s="76"/>
      <c r="E76" s="76"/>
      <c r="F76" s="76"/>
    </row>
    <row r="77" customFormat="false" ht="18" hidden="false" customHeight="true" outlineLevel="0" collapsed="false">
      <c r="B77" s="76"/>
      <c r="C77" s="76"/>
      <c r="D77" s="76"/>
      <c r="E77" s="76"/>
      <c r="F77" s="76"/>
    </row>
    <row r="78" customFormat="false" ht="18" hidden="false" customHeight="true" outlineLevel="0" collapsed="false">
      <c r="B78" s="76"/>
      <c r="C78" s="76"/>
      <c r="D78" s="76"/>
      <c r="E78" s="76"/>
      <c r="F78" s="76"/>
    </row>
    <row r="79" customFormat="false" ht="15.75" hidden="false" customHeight="true" outlineLevel="0" collapsed="false"/>
    <row r="80" customFormat="false" ht="19.5" hidden="false" customHeight="true" outlineLevel="0" collapsed="false">
      <c r="A80" s="3" t="s">
        <v>263</v>
      </c>
      <c r="B80" s="3"/>
      <c r="C80" s="3"/>
      <c r="D80" s="3"/>
      <c r="E80" s="3"/>
      <c r="F80" s="3"/>
    </row>
    <row r="81" customFormat="false" ht="15.75" hidden="false" customHeight="true" outlineLevel="0" collapsed="false">
      <c r="B81" s="54" t="s">
        <v>264</v>
      </c>
      <c r="C81" s="14"/>
      <c r="D81" s="14"/>
    </row>
    <row r="82" customFormat="false" ht="15.75" hidden="false" customHeight="true" outlineLevel="0" collapsed="false">
      <c r="B82" s="54" t="s">
        <v>265</v>
      </c>
      <c r="C82" s="14"/>
      <c r="D82" s="14"/>
    </row>
    <row r="83" customFormat="false" ht="15.75" hidden="false" customHeight="true" outlineLevel="0" collapsed="false">
      <c r="B83" s="54" t="s">
        <v>54</v>
      </c>
      <c r="C83" s="14"/>
      <c r="D83" s="14"/>
    </row>
    <row r="84" customFormat="false" ht="15.75" hidden="false" customHeight="true" outlineLevel="0" collapsed="false">
      <c r="B84" s="54" t="s">
        <v>266</v>
      </c>
      <c r="C84" s="14"/>
      <c r="D84" s="14"/>
    </row>
    <row r="85" customFormat="false" ht="15.75" hidden="false" customHeight="true" outlineLevel="0" collapsed="false">
      <c r="B85" s="54" t="s">
        <v>57</v>
      </c>
      <c r="C85" s="14" t="s">
        <v>267</v>
      </c>
      <c r="D85" s="14"/>
    </row>
    <row r="86" customFormat="false" ht="15.75" hidden="false" customHeight="true" outlineLevel="0" collapsed="false"/>
    <row r="87" customFormat="false" ht="33.75" hidden="false" customHeight="true" outlineLevel="0" collapsed="false">
      <c r="B87" s="77" t="s">
        <v>268</v>
      </c>
      <c r="C87" s="77"/>
      <c r="D87" s="77"/>
      <c r="E87" s="77"/>
      <c r="F87" s="77"/>
    </row>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5">
    <mergeCell ref="A1:F1"/>
    <mergeCell ref="A2:F2"/>
    <mergeCell ref="A4:F4"/>
    <mergeCell ref="D5:F5"/>
    <mergeCell ref="A8:F8"/>
    <mergeCell ref="B9:F9"/>
    <mergeCell ref="A19:F19"/>
    <mergeCell ref="A22:F22"/>
    <mergeCell ref="A36:F36"/>
    <mergeCell ref="A44:F44"/>
    <mergeCell ref="A60:F60"/>
    <mergeCell ref="B61:F61"/>
    <mergeCell ref="B62:F62"/>
    <mergeCell ref="B63:F63"/>
    <mergeCell ref="B64:F64"/>
    <mergeCell ref="B65:F65"/>
    <mergeCell ref="B66:F66"/>
    <mergeCell ref="B67:F67"/>
    <mergeCell ref="A69:F69"/>
    <mergeCell ref="B70:F70"/>
    <mergeCell ref="B71:F71"/>
    <mergeCell ref="B72:F72"/>
    <mergeCell ref="B73:F73"/>
    <mergeCell ref="B74:F74"/>
    <mergeCell ref="B75:F75"/>
    <mergeCell ref="B76:F76"/>
    <mergeCell ref="B77:F77"/>
    <mergeCell ref="B78:F78"/>
    <mergeCell ref="A80:F80"/>
    <mergeCell ref="C81:D81"/>
    <mergeCell ref="C82:D82"/>
    <mergeCell ref="C83:D83"/>
    <mergeCell ref="C84:D84"/>
    <mergeCell ref="C85:D85"/>
    <mergeCell ref="B87:F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2026-10-07T11:56:43Z</dcterms:modified>
  <cp:revision>1</cp:revision>
  <dc:subject/>
  <dc:title/>
</cp:coreProperties>
</file>